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4ee2abc8dde422/Desktop/Data Science/Excel/Practice/"/>
    </mc:Choice>
  </mc:AlternateContent>
  <xr:revisionPtr revIDLastSave="75" documentId="13_ncr:1_{7C3EE0FF-DF87-4319-A4EF-6001EB02C9CF}" xr6:coauthVersionLast="47" xr6:coauthVersionMax="47" xr10:uidLastSave="{6EAA947E-8CA4-483F-A938-2567B3C7883A}"/>
  <bookViews>
    <workbookView xWindow="11424" yWindow="0" windowWidth="11712" windowHeight="13056" activeTab="3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Sheet1" sheetId="6" r:id="rId5"/>
    <sheet name="Task-5" sheetId="5" r:id="rId6"/>
  </sheet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G3" i="3"/>
  <c r="G4" i="3"/>
  <c r="G5" i="3"/>
  <c r="G6" i="3"/>
  <c r="G7" i="3"/>
  <c r="G8" i="3"/>
  <c r="G9" i="3"/>
  <c r="G10" i="3"/>
  <c r="G2" i="3"/>
  <c r="A12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F3" i="2"/>
  <c r="F4" i="2"/>
  <c r="F5" i="2"/>
  <c r="F6" i="2"/>
  <c r="F7" i="2"/>
  <c r="F8" i="2"/>
  <c r="F9" i="2"/>
  <c r="F10" i="2"/>
  <c r="F11" i="2"/>
  <c r="F2" i="2"/>
  <c r="A11" i="5"/>
  <c r="F2" i="5"/>
  <c r="F3" i="5"/>
  <c r="F4" i="5"/>
  <c r="F5" i="5"/>
  <c r="F6" i="5"/>
  <c r="F7" i="5"/>
  <c r="F8" i="5"/>
</calcChain>
</file>

<file path=xl/sharedStrings.xml><?xml version="1.0" encoding="utf-8"?>
<sst xmlns="http://schemas.openxmlformats.org/spreadsheetml/2006/main" count="127" uniqueCount="106">
  <si>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</si>
  <si>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</si>
  <si>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</si>
  <si>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</si>
  <si>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</si>
  <si>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</si>
  <si>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</si>
  <si>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</si>
  <si>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</si>
  <si>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</si>
  <si>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</si>
  <si>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</si>
  <si>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</si>
  <si>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</si>
  <si>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</si>
  <si>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</si>
  <si>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</si>
  <si>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</si>
  <si>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</si>
  <si>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</si>
  <si>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</si>
  <si>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</si>
  <si>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</si>
  <si>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</si>
  <si>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</si>
  <si>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</si>
  <si>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</si>
  <si>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</si>
  <si>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</si>
  <si>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</si>
  <si>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</si>
  <si>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</si>
  <si>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</si>
  <si>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</si>
  <si>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</si>
  <si>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</si>
  <si>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</si>
  <si>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</si>
  <si>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</si>
  <si>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</si>
  <si>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</si>
  <si>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</si>
  <si>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</si>
  <si>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</si>
  <si>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</si>
  <si>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5. Create a line chart to visualize the trend of Sales A, Sales B, and Sales Cover the three months.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</si>
  <si>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</si>
  <si>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</si>
  <si>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</si>
  <si>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</si>
  <si>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</si>
  <si>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</si>
  <si>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</si>
  <si>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</si>
  <si>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</si>
  <si>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</si>
  <si>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</si>
  <si>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</si>
  <si>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</si>
  <si>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</si>
  <si>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</si>
  <si>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</si>
  <si>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</si>
  <si>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</si>
  <si>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</si>
  <si>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</si>
  <si>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</si>
  <si>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</si>
  <si>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</si>
  <si>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</si>
  <si>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</si>
  <si>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</si>
  <si>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</si>
  <si>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</si>
  <si>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</si>
  <si>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</si>
  <si>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</si>
  <si>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</si>
  <si>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</si>
  <si>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</si>
  <si>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</si>
  <si>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</si>
  <si>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</si>
  <si>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</si>
  <si>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</si>
  <si>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</si>
  <si>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</si>
  <si>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</si>
  <si>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</si>
  <si>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</si>
  <si>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</si>
  <si>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</si>
  <si>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</si>
  <si>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</si>
  <si>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</si>
  <si>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</si>
  <si>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</si>
  <si>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</si>
  <si>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Experience</t>
  </si>
  <si>
    <t>Row Labels</t>
  </si>
  <si>
    <t>Grand Total</t>
  </si>
  <si>
    <t>Sum of Salary</t>
  </si>
  <si>
    <t>Total Value</t>
  </si>
  <si>
    <t>Total Sales</t>
  </si>
  <si>
    <t>Average Sales</t>
  </si>
  <si>
    <t>Max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</si>
</sst>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8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2" xfId="0" applyBorder="1"/>
    <xf numFmtId="14" fontId="0" fillId="0" borderId="3" xfId="0" applyNumberForma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9" xfId="0" applyNumberFormat="1" applyBorder="1"/>
    <xf numFmtId="0" fontId="0" fillId="0" borderId="9" xfId="0" applyBorder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1" xfId="0" applyNumberFormat="1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8" fontId="0" fillId="0" borderId="1" xfId="0" applyNumberFormat="1" applyBorder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'Task-2'!$E$1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'Task-2'!$B$2:$B$11</c:f>
              <c:strCache>
                <c:ptCount val="10"/>
                <c:pt idx="0">
                  <c:v>Laptop</c:v>
                </c:pt>
                <c:pt idx="1">
                  <c:v>T-shirt</c:v>
                </c:pt>
                <c:pt idx="2">
                  <c:v>Smartphone</c:v>
                </c:pt>
                <c:pt idx="3">
                  <c:v>Headphones</c:v>
                </c:pt>
                <c:pt idx="4">
                  <c:v>Jeans</c:v>
                </c:pt>
                <c:pt idx="5">
                  <c:v>Tablet</c:v>
                </c:pt>
                <c:pt idx="6">
                  <c:v>Dress Shirt</c:v>
                </c:pt>
                <c:pt idx="7">
                  <c:v>Camera</c:v>
                </c:pt>
                <c:pt idx="8">
                  <c:v>Sneakers</c:v>
                </c:pt>
                <c:pt idx="9">
                  <c:v>Smart Watch</c:v>
                </c:pt>
              </c:strCache>
            </c:strRef>
          </c:cat>
          <c:val>
            <c:numRef>
              <c:f>'Task-2'!$E$2:$E$11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20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C-4960-9B67-395B1D7A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619392"/>
        <c:axId val="752830032"/>
      </c:barChart>
      <c:catAx>
        <c:axId val="74161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30032"/>
        <c:crosses val="autoZero"/>
        <c:auto val="1"/>
        <c:lblAlgn val="ctr"/>
        <c:lblOffset val="100"/>
        <c:noMultiLvlLbl val="0"/>
      </c:catAx>
      <c:valAx>
        <c:axId val="7528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1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'Task-3'!$B$2:$B$10</c:f>
              <c:numCache>
                <c:formatCode>General</c:formatCode>
                <c:ptCount val="9"/>
                <c:pt idx="0">
                  <c:v>1200</c:v>
                </c:pt>
                <c:pt idx="1">
                  <c:v>900</c:v>
                </c:pt>
                <c:pt idx="2">
                  <c:v>1300</c:v>
                </c:pt>
                <c:pt idx="3">
                  <c:v>1100</c:v>
                </c:pt>
                <c:pt idx="4">
                  <c:v>950</c:v>
                </c:pt>
                <c:pt idx="5">
                  <c:v>1150</c:v>
                </c:pt>
                <c:pt idx="6">
                  <c:v>1050</c:v>
                </c:pt>
                <c:pt idx="7">
                  <c:v>1000</c:v>
                </c:pt>
                <c:pt idx="8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8-49E7-93FD-45B40CD20AF4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'Task-3'!$C$2:$C$10</c:f>
              <c:numCache>
                <c:formatCode>General</c:formatCode>
                <c:ptCount val="9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  <c:pt idx="3">
                  <c:v>1200</c:v>
                </c:pt>
                <c:pt idx="4">
                  <c:v>800</c:v>
                </c:pt>
                <c:pt idx="5">
                  <c:v>1050</c:v>
                </c:pt>
                <c:pt idx="6">
                  <c:v>900</c:v>
                </c:pt>
                <c:pt idx="7">
                  <c:v>1150</c:v>
                </c:pt>
                <c:pt idx="8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8-49E7-93FD-45B40CD20AF4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'Task-3'!$D$2:$D$10</c:f>
              <c:numCache>
                <c:formatCode>General</c:formatCode>
                <c:ptCount val="9"/>
                <c:pt idx="0">
                  <c:v>900</c:v>
                </c:pt>
                <c:pt idx="1">
                  <c:v>800</c:v>
                </c:pt>
                <c:pt idx="2">
                  <c:v>1050</c:v>
                </c:pt>
                <c:pt idx="3">
                  <c:v>850</c:v>
                </c:pt>
                <c:pt idx="4">
                  <c:v>950</c:v>
                </c:pt>
                <c:pt idx="5">
                  <c:v>1000</c:v>
                </c:pt>
                <c:pt idx="6">
                  <c:v>1100</c:v>
                </c:pt>
                <c:pt idx="7">
                  <c:v>950</c:v>
                </c:pt>
                <c:pt idx="8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D8-49E7-93FD-45B40CD20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72413200"/>
        <c:axId val="752823312"/>
      </c:lineChart>
      <c:catAx>
        <c:axId val="8724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23312"/>
        <c:crosses val="autoZero"/>
        <c:auto val="1"/>
        <c:lblAlgn val="ctr"/>
        <c:lblOffset val="100"/>
        <c:noMultiLvlLbl val="0"/>
      </c:catAx>
      <c:valAx>
        <c:axId val="75282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132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0</xdr:row>
      <xdr:rowOff>7620</xdr:rowOff>
    </xdr:from>
    <xdr:to>
      <xdr:col>9</xdr:col>
      <xdr:colOff>373380</xdr:colOff>
      <xdr:row>12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816A36-E3F0-31B2-2DE9-2493C169E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0</xdr:row>
      <xdr:rowOff>0</xdr:rowOff>
    </xdr:from>
    <xdr:to>
      <xdr:col>14</xdr:col>
      <xdr:colOff>373380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FF79B-2C30-20F3-8A9F-3579C9230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KHIL" refreshedDate="46211.316781134257" createdVersion="8" refreshedVersion="8" minRefreshableVersion="3" recordCount="7" xr:uid="{B70885FD-402B-4847-8E71-DAC3EEAB37F9}">
  <cacheSource type="worksheet">
    <worksheetSource name="Table2"/>
  </cacheSource>
  <cacheFields count="6">
    <cacheField name="Employee ID" numFmtId="0">
      <sharedItems containsSemiMixedTypes="0" containsString="0" containsNumber="1" containsInteger="1" minValue="1" maxValue="7"/>
    </cacheField>
    <cacheField name="Employee Name" numFmtId="0">
      <sharedItems/>
    </cacheField>
    <cacheField name="Department" numFmtId="0">
      <sharedItems count="3">
        <s v="HR"/>
        <s v="Sales"/>
        <s v="Finance"/>
      </sharedItems>
    </cacheField>
    <cacheField name="Salary" numFmtId="0">
      <sharedItems containsSemiMixedTypes="0" containsString="0" containsNumber="1" containsInteger="1" minValue="55000" maxValue="72000"/>
    </cacheField>
    <cacheField name="Hire Date" numFmtId="14">
      <sharedItems containsSemiMixedTypes="0" containsNonDate="0" containsDate="1" containsString="0" minDate="2016-09-10T00:00:00" maxDate="2020-01-04T00:00:00"/>
    </cacheField>
    <cacheField name="Experience" numFmtId="0">
      <sharedItems containsSemiMixedTypes="0" containsString="0" containsNumber="1" containsInteger="1" minValue="6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Emily|Johnson"/>
    <x v="0"/>
    <n v="55000"/>
    <d v="2017-11-20T00:00:00"/>
    <n v="8"/>
  </r>
  <r>
    <n v="2"/>
    <s v="Michael|Lee"/>
    <x v="1"/>
    <n v="65000"/>
    <d v="2019-08-05T00:00:00"/>
    <n v="6"/>
  </r>
  <r>
    <n v="3"/>
    <s v="Sarah|Wang"/>
    <x v="2"/>
    <n v="72000"/>
    <d v="2018-02-15T00:00:00"/>
    <n v="8"/>
  </r>
  <r>
    <n v="4"/>
    <s v="Daniel|Kim"/>
    <x v="1"/>
    <n v="63000"/>
    <d v="2020-01-03T00:00:00"/>
    <n v="6"/>
  </r>
  <r>
    <n v="5"/>
    <s v="Jessica|Liu"/>
    <x v="0"/>
    <n v="58000"/>
    <d v="2016-09-10T00:00:00"/>
    <n v="9"/>
  </r>
  <r>
    <n v="6"/>
    <s v="Ethan|Chen"/>
    <x v="2"/>
    <n v="68000"/>
    <d v="2017-06-25T00:00:00"/>
    <n v="9"/>
  </r>
  <r>
    <n v="7"/>
    <s v="Sophia|Brown"/>
    <x v="1"/>
    <n v="70000"/>
    <d v="2019-04-12T00:00:0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3C415-10B3-4FFD-B2C7-79D7D62F50D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ECF7F7-DBB8-4A99-9E64-EB6B5E12AA77}" name="Table3" displayName="Table3" ref="A1:F11" totalsRowShown="0" headerRowDxfId="0" headerRowBorderDxfId="8" tableBorderDxfId="9" totalsRowBorderDxfId="7">
  <autoFilter ref="A1:F11" xr:uid="{A3ECF7F7-DBB8-4A99-9E64-EB6B5E12AA77}"/>
  <tableColumns count="6">
    <tableColumn id="1" xr3:uid="{191D8611-CF9D-47C7-8775-CFE77AEFE485}" name="Product ID" dataDxfId="6"/>
    <tableColumn id="2" xr3:uid="{00FF4901-055E-4DFB-B4EC-264D9FA011CE}" name="Product Name" dataDxfId="5"/>
    <tableColumn id="3" xr3:uid="{7EC4A663-841E-4047-B5B1-7C901EEFCB24}" name="Category" dataDxfId="4"/>
    <tableColumn id="4" xr3:uid="{A1C4E2B3-352C-4208-B612-83A021B39CD5}" name="Price" dataDxfId="3"/>
    <tableColumn id="5" xr3:uid="{186A6B50-142C-4859-9414-EF4727359E30}" name="Quantity" dataDxfId="2"/>
    <tableColumn id="6" xr3:uid="{DF3FD3D8-7C85-4AC1-9508-CC2B70785BAB}" name="Total Value" dataDxfId="1">
      <calculatedColumnFormula>D2*E2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7289A-D8EC-41C8-AD0A-C63050C866BD}" name="Table2" displayName="Table2" ref="A1:F8" totalsRowShown="0" headerRowDxfId="21" headerRowBorderDxfId="19" tableBorderDxfId="20" totalsRowBorderDxfId="18">
  <autoFilter ref="A1:F8" xr:uid="{9047289A-D8EC-41C8-AD0A-C63050C866BD}"/>
  <tableColumns count="6">
    <tableColumn id="1" xr3:uid="{9D314DE3-83B9-4A15-B455-D08DA012272E}" name="Employee ID" dataDxfId="17"/>
    <tableColumn id="2" xr3:uid="{9D925267-3F7E-4865-B72C-9D8149C06032}" name="Employee Name" dataDxfId="16"/>
    <tableColumn id="3" xr3:uid="{94987533-9B75-450B-B929-930A6B42D30C}" name="Department" dataDxfId="15"/>
    <tableColumn id="4" xr3:uid="{9DD6F921-FD80-4F17-B0AE-DC51B3B4B9C7}" name="Salary" dataDxfId="14"/>
    <tableColumn id="5" xr3:uid="{FC158F9B-E8A2-4AB7-85FA-2368AE13FC22}" name="Hire Date" dataDxfId="13"/>
    <tableColumn id="6" xr3:uid="{612AA088-06AA-41BC-8435-004FD7374AA3}" name="Experience" dataDxfId="12">
      <calculatedColumnFormula>DATEDIF(Table2[[#This Row],[Hire Date]],TODAY(),"Y")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2" sqref="C2:E10"/>
    </sheetView>
  </sheetViews>
  <sheetFormatPr defaultRowHeight="14.4" x14ac:dyDescent="0.3"/>
  <cols>
    <col min="1" max="1" width="10.21875" bestFit="1" customWidth="1"/>
    <col min="2" max="2" width="14.109375" bestFit="1" customWidth="1"/>
    <col min="3" max="3" width="11.21875" bestFit="1" customWidth="1"/>
    <col min="4" max="4" width="12.88671875" bestFit="1" customWidth="1"/>
    <col min="5" max="5" width="12.5546875" bestFit="1" customWidth="1"/>
  </cols>
  <sheetData>
    <row r="1" spans="1:6" x14ac:dyDescent="0.3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x14ac:dyDescent="0.3">
      <c r="A2" s="7">
        <v>3</v>
      </c>
      <c r="B2" s="1" t="s">
        <v>7</v>
      </c>
      <c r="C2" s="23">
        <v>78</v>
      </c>
      <c r="D2" s="23">
        <v>82</v>
      </c>
      <c r="E2" s="23">
        <v>85</v>
      </c>
    </row>
    <row r="3" spans="1:6" x14ac:dyDescent="0.3">
      <c r="A3" s="7">
        <v>6</v>
      </c>
      <c r="B3" s="1" t="s">
        <v>10</v>
      </c>
      <c r="C3" s="23">
        <v>82</v>
      </c>
      <c r="D3" s="23">
        <v>89</v>
      </c>
      <c r="E3" s="23">
        <v>84</v>
      </c>
    </row>
    <row r="4" spans="1:6" x14ac:dyDescent="0.3">
      <c r="A4" s="7">
        <v>1</v>
      </c>
      <c r="B4" s="1" t="s">
        <v>5</v>
      </c>
      <c r="C4" s="23">
        <v>85</v>
      </c>
      <c r="D4" s="23">
        <v>90</v>
      </c>
      <c r="E4" s="23">
        <v>88</v>
      </c>
    </row>
    <row r="5" spans="1:6" x14ac:dyDescent="0.3">
      <c r="A5" s="1">
        <v>8</v>
      </c>
      <c r="B5" s="1" t="s">
        <v>13</v>
      </c>
      <c r="C5" s="23">
        <v>87</v>
      </c>
      <c r="D5" s="23">
        <v>83</v>
      </c>
      <c r="E5" s="23">
        <v>89</v>
      </c>
    </row>
    <row r="6" spans="1:6" x14ac:dyDescent="0.3">
      <c r="A6" s="7">
        <v>4</v>
      </c>
      <c r="B6" s="1" t="s">
        <v>8</v>
      </c>
      <c r="C6" s="23">
        <v>88</v>
      </c>
      <c r="D6" s="23">
        <v>85</v>
      </c>
      <c r="E6" s="23">
        <v>92</v>
      </c>
    </row>
    <row r="7" spans="1:6" x14ac:dyDescent="0.3">
      <c r="A7" s="7">
        <v>7</v>
      </c>
      <c r="B7" s="1" t="s">
        <v>11</v>
      </c>
      <c r="C7" s="23">
        <v>90</v>
      </c>
      <c r="D7" s="23">
        <v>86</v>
      </c>
      <c r="E7" s="23">
        <v>88</v>
      </c>
    </row>
    <row r="8" spans="1:6" x14ac:dyDescent="0.3">
      <c r="A8" s="7">
        <v>9</v>
      </c>
      <c r="B8" s="1" t="s">
        <v>14</v>
      </c>
      <c r="C8" s="23">
        <v>91</v>
      </c>
      <c r="D8" s="23">
        <v>87</v>
      </c>
      <c r="E8" s="23">
        <v>91</v>
      </c>
      <c r="F8" t="s">
        <v>12</v>
      </c>
    </row>
    <row r="9" spans="1:6" x14ac:dyDescent="0.3">
      <c r="A9" s="7">
        <v>2</v>
      </c>
      <c r="B9" s="1" t="s">
        <v>6</v>
      </c>
      <c r="C9" s="23">
        <v>92</v>
      </c>
      <c r="D9" s="23">
        <v>88</v>
      </c>
      <c r="E9" s="23">
        <v>90</v>
      </c>
    </row>
    <row r="10" spans="1:6" x14ac:dyDescent="0.3">
      <c r="A10" s="7">
        <v>5</v>
      </c>
      <c r="B10" s="1" t="s">
        <v>9</v>
      </c>
      <c r="C10" s="23">
        <v>95</v>
      </c>
      <c r="D10" s="23">
        <v>91</v>
      </c>
      <c r="E10" s="23">
        <v>87</v>
      </c>
    </row>
    <row r="13" spans="1:6" ht="27.45" customHeight="1" x14ac:dyDescent="0.3">
      <c r="B13" s="9" t="s">
        <v>15</v>
      </c>
      <c r="C13" s="9"/>
      <c r="D13" s="9"/>
      <c r="E13" s="9"/>
    </row>
    <row r="14" spans="1:6" ht="28.05" customHeight="1" x14ac:dyDescent="0.3">
      <c r="B14" s="9" t="s">
        <v>16</v>
      </c>
      <c r="C14" s="9"/>
      <c r="D14" s="9"/>
      <c r="E14" s="9"/>
    </row>
    <row r="15" spans="1:6" ht="19.95" customHeight="1" x14ac:dyDescent="0.3">
      <c r="B15" s="9" t="s">
        <v>17</v>
      </c>
      <c r="C15" s="9"/>
      <c r="D15" s="9"/>
      <c r="E15" s="9"/>
    </row>
  </sheetData>
  <sortState xmlns:xlrd2="http://schemas.microsoft.com/office/spreadsheetml/2017/richdata2" ref="A2:E10">
    <sortCondition ref="C2:C10"/>
  </sortState>
  <mergeCells count="3">
    <mergeCell ref="B13:E13"/>
    <mergeCell ref="B14:E14"/>
    <mergeCell ref="B15:E15"/>
  </mergeCells>
  <conditionalFormatting sqref="A2:E10">
    <cfRule type="expression" dxfId="11" priority="1">
      <formula>AVERAGE($C2:$E2)&gt;85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opLeftCell="D1" workbookViewId="0">
      <selection activeCell="C8" sqref="C8"/>
    </sheetView>
  </sheetViews>
  <sheetFormatPr defaultRowHeight="14.4" x14ac:dyDescent="0.3"/>
  <cols>
    <col min="1" max="1" width="11.77734375" customWidth="1"/>
    <col min="2" max="2" width="15" customWidth="1"/>
    <col min="3" max="3" width="10.44140625" customWidth="1"/>
    <col min="5" max="5" width="10.21875" customWidth="1"/>
    <col min="6" max="6" width="12.33203125" customWidth="1"/>
    <col min="8" max="8" width="48.21875" customWidth="1"/>
  </cols>
  <sheetData>
    <row r="1" spans="1:8" x14ac:dyDescent="0.3">
      <c r="A1" s="25" t="s">
        <v>18</v>
      </c>
      <c r="B1" s="26" t="s">
        <v>19</v>
      </c>
      <c r="C1" s="26" t="s">
        <v>20</v>
      </c>
      <c r="D1" s="26" t="s">
        <v>21</v>
      </c>
      <c r="E1" s="26" t="s">
        <v>22</v>
      </c>
      <c r="F1" s="27" t="s">
        <v>102</v>
      </c>
    </row>
    <row r="2" spans="1:8" x14ac:dyDescent="0.3">
      <c r="A2" s="10">
        <v>1</v>
      </c>
      <c r="B2" s="1" t="s">
        <v>23</v>
      </c>
      <c r="C2" s="1" t="s">
        <v>24</v>
      </c>
      <c r="D2" s="1">
        <v>1000</v>
      </c>
      <c r="E2" s="1">
        <v>5</v>
      </c>
      <c r="F2" s="24">
        <f>D2*E2</f>
        <v>5000</v>
      </c>
    </row>
    <row r="3" spans="1:8" x14ac:dyDescent="0.3">
      <c r="A3" s="10">
        <v>2</v>
      </c>
      <c r="B3" s="1" t="s">
        <v>25</v>
      </c>
      <c r="C3" s="1" t="s">
        <v>26</v>
      </c>
      <c r="D3" s="1">
        <v>20</v>
      </c>
      <c r="E3" s="1">
        <v>10</v>
      </c>
      <c r="F3" s="24">
        <f t="shared" ref="F3:F11" si="0">D3*E3</f>
        <v>200</v>
      </c>
    </row>
    <row r="4" spans="1:8" x14ac:dyDescent="0.3">
      <c r="A4" s="10">
        <v>3</v>
      </c>
      <c r="B4" s="1" t="s">
        <v>27</v>
      </c>
      <c r="C4" s="1" t="s">
        <v>24</v>
      </c>
      <c r="D4" s="1">
        <v>500</v>
      </c>
      <c r="E4" s="1">
        <v>8</v>
      </c>
      <c r="F4" s="24">
        <f t="shared" si="0"/>
        <v>4000</v>
      </c>
    </row>
    <row r="5" spans="1:8" x14ac:dyDescent="0.3">
      <c r="A5" s="10">
        <v>4</v>
      </c>
      <c r="B5" s="1" t="s">
        <v>28</v>
      </c>
      <c r="C5" s="1" t="s">
        <v>24</v>
      </c>
      <c r="D5" s="1">
        <v>200</v>
      </c>
      <c r="E5" s="1">
        <v>15</v>
      </c>
      <c r="F5" s="24">
        <f t="shared" si="0"/>
        <v>3000</v>
      </c>
    </row>
    <row r="6" spans="1:8" x14ac:dyDescent="0.3">
      <c r="A6" s="10">
        <v>5</v>
      </c>
      <c r="B6" s="1" t="s">
        <v>29</v>
      </c>
      <c r="C6" s="1" t="s">
        <v>26</v>
      </c>
      <c r="D6" s="1">
        <v>50</v>
      </c>
      <c r="E6" s="1">
        <v>12</v>
      </c>
      <c r="F6" s="24">
        <f t="shared" si="0"/>
        <v>600</v>
      </c>
    </row>
    <row r="7" spans="1:8" x14ac:dyDescent="0.3">
      <c r="A7" s="10">
        <v>6</v>
      </c>
      <c r="B7" s="1" t="s">
        <v>30</v>
      </c>
      <c r="C7" s="1" t="s">
        <v>24</v>
      </c>
      <c r="D7" s="1">
        <v>700</v>
      </c>
      <c r="E7" s="1">
        <v>6</v>
      </c>
      <c r="F7" s="24">
        <f t="shared" si="0"/>
        <v>4200</v>
      </c>
    </row>
    <row r="8" spans="1:8" x14ac:dyDescent="0.3">
      <c r="A8" s="10">
        <v>7</v>
      </c>
      <c r="B8" s="1" t="s">
        <v>31</v>
      </c>
      <c r="C8" s="1" t="s">
        <v>26</v>
      </c>
      <c r="D8" s="1">
        <v>30</v>
      </c>
      <c r="E8" s="1">
        <v>20</v>
      </c>
      <c r="F8" s="24">
        <f t="shared" si="0"/>
        <v>600</v>
      </c>
    </row>
    <row r="9" spans="1:8" x14ac:dyDescent="0.3">
      <c r="A9" s="10">
        <v>8</v>
      </c>
      <c r="B9" s="1" t="s">
        <v>32</v>
      </c>
      <c r="C9" s="1" t="s">
        <v>24</v>
      </c>
      <c r="D9" s="1">
        <v>1200</v>
      </c>
      <c r="E9" s="1">
        <v>3</v>
      </c>
      <c r="F9" s="24">
        <f t="shared" si="0"/>
        <v>3600</v>
      </c>
    </row>
    <row r="10" spans="1:8" x14ac:dyDescent="0.3">
      <c r="A10" s="10">
        <v>9</v>
      </c>
      <c r="B10" s="1" t="s">
        <v>33</v>
      </c>
      <c r="C10" s="1" t="s">
        <v>26</v>
      </c>
      <c r="D10" s="1">
        <v>80</v>
      </c>
      <c r="E10" s="1">
        <v>7</v>
      </c>
      <c r="F10" s="24">
        <f t="shared" si="0"/>
        <v>560</v>
      </c>
    </row>
    <row r="11" spans="1:8" x14ac:dyDescent="0.3">
      <c r="A11" s="15">
        <v>10</v>
      </c>
      <c r="B11" s="16" t="s">
        <v>34</v>
      </c>
      <c r="C11" s="16" t="s">
        <v>24</v>
      </c>
      <c r="D11" s="16">
        <v>300</v>
      </c>
      <c r="E11" s="16">
        <v>10</v>
      </c>
      <c r="F11" s="18">
        <f t="shared" si="0"/>
        <v>3000</v>
      </c>
    </row>
    <row r="12" spans="1:8" x14ac:dyDescent="0.3">
      <c r="H12" s="2" t="s">
        <v>35</v>
      </c>
    </row>
    <row r="13" spans="1:8" x14ac:dyDescent="0.3">
      <c r="H13" s="3"/>
    </row>
    <row r="14" spans="1:8" ht="24" x14ac:dyDescent="0.3">
      <c r="H14" s="4" t="s">
        <v>36</v>
      </c>
    </row>
    <row r="15" spans="1:8" x14ac:dyDescent="0.3">
      <c r="H15" s="4" t="s">
        <v>37</v>
      </c>
    </row>
    <row r="16" spans="1:8" ht="24" x14ac:dyDescent="0.3">
      <c r="H16" s="4" t="s">
        <v>38</v>
      </c>
    </row>
    <row r="17" spans="8:8" ht="24" x14ac:dyDescent="0.3">
      <c r="H17" s="4" t="s">
        <v>39</v>
      </c>
    </row>
    <row r="18" spans="8:8" x14ac:dyDescent="0.3">
      <c r="H18" s="4" t="s">
        <v>40</v>
      </c>
    </row>
  </sheetData>
  <conditionalFormatting sqref="B2:B11">
    <cfRule type="expression" dxfId="10" priority="1">
      <formula>$D2&gt;500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P11" sqref="P11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4" width="6.5546875" bestFit="1" customWidth="1"/>
    <col min="5" max="5" width="10.21875" customWidth="1"/>
    <col min="6" max="6" width="13.5546875" customWidth="1"/>
  </cols>
  <sheetData>
    <row r="1" spans="1:7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103</v>
      </c>
      <c r="F1" s="6" t="s">
        <v>104</v>
      </c>
      <c r="G1" s="6" t="s">
        <v>105</v>
      </c>
    </row>
    <row r="2" spans="1:7" x14ac:dyDescent="0.3">
      <c r="A2" s="1" t="s">
        <v>50</v>
      </c>
      <c r="B2" s="1">
        <v>1200</v>
      </c>
      <c r="C2" s="1">
        <v>1100</v>
      </c>
      <c r="D2" s="1">
        <v>900</v>
      </c>
      <c r="E2" s="1">
        <f>SUM(B2:D2)</f>
        <v>3200</v>
      </c>
      <c r="F2" s="1">
        <f>AVERAGE(B2:D2)</f>
        <v>1066.6666666666667</v>
      </c>
      <c r="G2" s="1">
        <f>MAX(B2:D2)</f>
        <v>1200</v>
      </c>
    </row>
    <row r="3" spans="1:7" x14ac:dyDescent="0.3">
      <c r="A3" s="1" t="s">
        <v>51</v>
      </c>
      <c r="B3" s="1">
        <v>900</v>
      </c>
      <c r="C3" s="1">
        <v>1000</v>
      </c>
      <c r="D3" s="1">
        <v>800</v>
      </c>
      <c r="E3" s="1">
        <f t="shared" ref="E3:E10" si="0">SUM(B3:D3)</f>
        <v>2700</v>
      </c>
      <c r="F3" s="1">
        <f t="shared" ref="F3:F10" si="1">AVERAGE(B3:D3)</f>
        <v>900</v>
      </c>
      <c r="G3" s="1">
        <f t="shared" ref="G3:G10" si="2">MAX(B3:D3)</f>
        <v>1000</v>
      </c>
    </row>
    <row r="4" spans="1:7" x14ac:dyDescent="0.3">
      <c r="A4" s="1" t="s">
        <v>52</v>
      </c>
      <c r="B4" s="1">
        <v>1300</v>
      </c>
      <c r="C4" s="1">
        <v>950</v>
      </c>
      <c r="D4" s="1">
        <v>1050</v>
      </c>
      <c r="E4" s="1">
        <f t="shared" si="0"/>
        <v>3300</v>
      </c>
      <c r="F4" s="1">
        <f t="shared" si="1"/>
        <v>1100</v>
      </c>
      <c r="G4" s="1">
        <f t="shared" si="2"/>
        <v>1300</v>
      </c>
    </row>
    <row r="5" spans="1:7" x14ac:dyDescent="0.3">
      <c r="A5" s="1" t="s">
        <v>53</v>
      </c>
      <c r="B5" s="1">
        <v>1100</v>
      </c>
      <c r="C5" s="1">
        <v>1200</v>
      </c>
      <c r="D5" s="1">
        <v>850</v>
      </c>
      <c r="E5" s="1">
        <f t="shared" si="0"/>
        <v>3150</v>
      </c>
      <c r="F5" s="1">
        <f t="shared" si="1"/>
        <v>1050</v>
      </c>
      <c r="G5" s="1">
        <f t="shared" si="2"/>
        <v>1200</v>
      </c>
    </row>
    <row r="6" spans="1:7" x14ac:dyDescent="0.3">
      <c r="A6" s="1" t="s">
        <v>54</v>
      </c>
      <c r="B6" s="1">
        <v>950</v>
      </c>
      <c r="C6" s="1">
        <v>800</v>
      </c>
      <c r="D6" s="1">
        <v>950</v>
      </c>
      <c r="E6" s="1">
        <f t="shared" si="0"/>
        <v>2700</v>
      </c>
      <c r="F6" s="1">
        <f t="shared" si="1"/>
        <v>900</v>
      </c>
      <c r="G6" s="1">
        <f t="shared" si="2"/>
        <v>950</v>
      </c>
    </row>
    <row r="7" spans="1:7" x14ac:dyDescent="0.3">
      <c r="A7" s="1" t="s">
        <v>55</v>
      </c>
      <c r="B7" s="1">
        <v>1150</v>
      </c>
      <c r="C7" s="1">
        <v>1050</v>
      </c>
      <c r="D7" s="1">
        <v>1000</v>
      </c>
      <c r="E7" s="1">
        <f t="shared" si="0"/>
        <v>3200</v>
      </c>
      <c r="F7" s="1">
        <f t="shared" si="1"/>
        <v>1066.6666666666667</v>
      </c>
      <c r="G7" s="1">
        <f t="shared" si="2"/>
        <v>1150</v>
      </c>
    </row>
    <row r="8" spans="1:7" x14ac:dyDescent="0.3">
      <c r="A8" s="1" t="s">
        <v>56</v>
      </c>
      <c r="B8" s="1">
        <v>1050</v>
      </c>
      <c r="C8" s="1">
        <v>900</v>
      </c>
      <c r="D8" s="1">
        <v>1100</v>
      </c>
      <c r="E8" s="1">
        <f t="shared" si="0"/>
        <v>3050</v>
      </c>
      <c r="F8" s="1">
        <f t="shared" si="1"/>
        <v>1016.6666666666666</v>
      </c>
      <c r="G8" s="1">
        <f t="shared" si="2"/>
        <v>1100</v>
      </c>
    </row>
    <row r="9" spans="1:7" x14ac:dyDescent="0.3">
      <c r="A9" s="1" t="s">
        <v>57</v>
      </c>
      <c r="B9" s="1">
        <v>1000</v>
      </c>
      <c r="C9" s="1">
        <v>1150</v>
      </c>
      <c r="D9" s="1">
        <v>950</v>
      </c>
      <c r="E9" s="1">
        <f t="shared" si="0"/>
        <v>3100</v>
      </c>
      <c r="F9" s="1">
        <f t="shared" si="1"/>
        <v>1033.3333333333333</v>
      </c>
      <c r="G9" s="1">
        <f t="shared" si="2"/>
        <v>1150</v>
      </c>
    </row>
    <row r="10" spans="1:7" x14ac:dyDescent="0.3">
      <c r="A10" s="1" t="s">
        <v>58</v>
      </c>
      <c r="B10" s="1">
        <v>1250</v>
      </c>
      <c r="C10" s="1">
        <v>1000</v>
      </c>
      <c r="D10" s="1">
        <v>1200</v>
      </c>
      <c r="E10" s="1">
        <f t="shared" si="0"/>
        <v>3450</v>
      </c>
      <c r="F10" s="1">
        <f t="shared" si="1"/>
        <v>1150</v>
      </c>
      <c r="G10" s="1">
        <f t="shared" si="2"/>
        <v>1250</v>
      </c>
    </row>
    <row r="12" spans="1:7" x14ac:dyDescent="0.3">
      <c r="A12">
        <f>COUNTIF(B2:B10,"&gt;1000")</f>
        <v>6</v>
      </c>
    </row>
    <row r="15" spans="1:7" x14ac:dyDescent="0.3">
      <c r="G15" t="s">
        <v>35</v>
      </c>
    </row>
    <row r="17" spans="7:7" x14ac:dyDescent="0.3">
      <c r="G17" t="s">
        <v>41</v>
      </c>
    </row>
    <row r="18" spans="7:7" x14ac:dyDescent="0.3">
      <c r="G18" t="s">
        <v>42</v>
      </c>
    </row>
    <row r="19" spans="7:7" x14ac:dyDescent="0.3">
      <c r="G19" t="s">
        <v>43</v>
      </c>
    </row>
    <row r="20" spans="7:7" x14ac:dyDescent="0.3">
      <c r="G20" t="s">
        <v>44</v>
      </c>
    </row>
    <row r="21" spans="7:7" x14ac:dyDescent="0.3">
      <c r="G21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H16"/>
  <sheetViews>
    <sheetView tabSelected="1" topLeftCell="D1" workbookViewId="0">
      <selection activeCell="B2" sqref="B2:D11"/>
    </sheetView>
  </sheetViews>
  <sheetFormatPr defaultRowHeight="14.4" x14ac:dyDescent="0.3"/>
  <cols>
    <col min="1" max="1" width="9.44140625" bestFit="1" customWidth="1"/>
    <col min="2" max="2" width="9.109375" bestFit="1" customWidth="1"/>
    <col min="3" max="3" width="10.109375" bestFit="1" customWidth="1"/>
    <col min="4" max="4" width="9.109375" bestFit="1" customWidth="1"/>
  </cols>
  <sheetData>
    <row r="1" spans="1:8" x14ac:dyDescent="0.3">
      <c r="A1" s="6" t="s">
        <v>64</v>
      </c>
      <c r="B1" s="6" t="s">
        <v>65</v>
      </c>
      <c r="C1" s="6" t="s">
        <v>66</v>
      </c>
      <c r="D1" s="6" t="s">
        <v>67</v>
      </c>
    </row>
    <row r="2" spans="1:8" x14ac:dyDescent="0.3">
      <c r="A2" s="1" t="s">
        <v>68</v>
      </c>
      <c r="B2" s="28">
        <v>550</v>
      </c>
      <c r="C2" s="28">
        <v>820</v>
      </c>
      <c r="D2" s="28">
        <f>C2-B2</f>
        <v>270</v>
      </c>
    </row>
    <row r="3" spans="1:8" x14ac:dyDescent="0.3">
      <c r="A3" s="1" t="s">
        <v>69</v>
      </c>
      <c r="B3" s="28">
        <v>630</v>
      </c>
      <c r="C3" s="28">
        <v>950</v>
      </c>
      <c r="D3" s="28">
        <f t="shared" ref="D3:D11" si="0">C3-B3</f>
        <v>320</v>
      </c>
    </row>
    <row r="4" spans="1:8" x14ac:dyDescent="0.3">
      <c r="A4" s="1" t="s">
        <v>70</v>
      </c>
      <c r="B4" s="28">
        <v>720</v>
      </c>
      <c r="C4" s="28">
        <v>1050</v>
      </c>
      <c r="D4" s="28">
        <f t="shared" si="0"/>
        <v>330</v>
      </c>
    </row>
    <row r="5" spans="1:8" x14ac:dyDescent="0.3">
      <c r="A5" s="1" t="s">
        <v>71</v>
      </c>
      <c r="B5" s="28">
        <v>680</v>
      </c>
      <c r="C5" s="28">
        <v>980</v>
      </c>
      <c r="D5" s="28">
        <f t="shared" si="0"/>
        <v>300</v>
      </c>
    </row>
    <row r="6" spans="1:8" x14ac:dyDescent="0.3">
      <c r="A6" s="1" t="s">
        <v>72</v>
      </c>
      <c r="B6" s="28">
        <v>590</v>
      </c>
      <c r="C6" s="28">
        <v>870</v>
      </c>
      <c r="D6" s="28">
        <f t="shared" si="0"/>
        <v>280</v>
      </c>
    </row>
    <row r="7" spans="1:8" x14ac:dyDescent="0.3">
      <c r="A7" s="1" t="s">
        <v>73</v>
      </c>
      <c r="B7" s="28">
        <v>660</v>
      </c>
      <c r="C7" s="28">
        <v>930</v>
      </c>
      <c r="D7" s="28">
        <f t="shared" si="0"/>
        <v>270</v>
      </c>
    </row>
    <row r="8" spans="1:8" x14ac:dyDescent="0.3">
      <c r="A8" s="1" t="s">
        <v>74</v>
      </c>
      <c r="B8" s="28">
        <v>710</v>
      </c>
      <c r="C8" s="28">
        <v>1020</v>
      </c>
      <c r="D8" s="28">
        <f t="shared" si="0"/>
        <v>310</v>
      </c>
    </row>
    <row r="9" spans="1:8" x14ac:dyDescent="0.3">
      <c r="A9" s="1" t="s">
        <v>75</v>
      </c>
      <c r="B9" s="28">
        <v>590</v>
      </c>
      <c r="C9" s="28">
        <v>880</v>
      </c>
      <c r="D9" s="28">
        <f t="shared" si="0"/>
        <v>290</v>
      </c>
    </row>
    <row r="10" spans="1:8" x14ac:dyDescent="0.3">
      <c r="A10" s="1" t="s">
        <v>76</v>
      </c>
      <c r="B10" s="28">
        <v>640</v>
      </c>
      <c r="C10" s="28">
        <v>940</v>
      </c>
      <c r="D10" s="28">
        <f t="shared" si="0"/>
        <v>300</v>
      </c>
      <c r="H10" t="s">
        <v>35</v>
      </c>
    </row>
    <row r="11" spans="1:8" x14ac:dyDescent="0.3">
      <c r="A11" s="1" t="s">
        <v>77</v>
      </c>
      <c r="B11" s="28">
        <v>600</v>
      </c>
      <c r="C11" s="28">
        <v>910</v>
      </c>
      <c r="D11" s="28">
        <f t="shared" si="0"/>
        <v>310</v>
      </c>
    </row>
    <row r="12" spans="1:8" x14ac:dyDescent="0.3">
      <c r="H12" t="s">
        <v>59</v>
      </c>
    </row>
    <row r="13" spans="1:8" x14ac:dyDescent="0.3">
      <c r="H13" t="s">
        <v>60</v>
      </c>
    </row>
    <row r="14" spans="1:8" x14ac:dyDescent="0.3">
      <c r="H14" t="s">
        <v>61</v>
      </c>
    </row>
    <row r="15" spans="1:8" x14ac:dyDescent="0.3">
      <c r="H15" t="s">
        <v>62</v>
      </c>
    </row>
    <row r="16" spans="1:8" x14ac:dyDescent="0.3">
      <c r="H1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BAA0-54D3-40DC-92F8-6C00C37D32D1}">
  <dimension ref="A3:B7"/>
  <sheetViews>
    <sheetView workbookViewId="0">
      <selection activeCell="A3" sqref="A3"/>
    </sheetView>
  </sheetViews>
  <sheetFormatPr defaultRowHeight="14.4" x14ac:dyDescent="0.3"/>
  <cols>
    <col min="1" max="2" width="12.5546875" bestFit="1" customWidth="1"/>
  </cols>
  <sheetData>
    <row r="3" spans="1:2" x14ac:dyDescent="0.3">
      <c r="A3" s="20" t="s">
        <v>99</v>
      </c>
      <c r="B3" t="s">
        <v>101</v>
      </c>
    </row>
    <row r="4" spans="1:2" x14ac:dyDescent="0.3">
      <c r="A4" s="21" t="s">
        <v>91</v>
      </c>
      <c r="B4" s="22">
        <v>198000</v>
      </c>
    </row>
    <row r="5" spans="1:2" x14ac:dyDescent="0.3">
      <c r="A5" s="21" t="s">
        <v>89</v>
      </c>
      <c r="B5" s="22">
        <v>113000</v>
      </c>
    </row>
    <row r="6" spans="1:2" x14ac:dyDescent="0.3">
      <c r="A6" s="21" t="s">
        <v>93</v>
      </c>
      <c r="B6" s="22">
        <v>140000</v>
      </c>
    </row>
    <row r="7" spans="1:2" x14ac:dyDescent="0.3">
      <c r="A7" s="21" t="s">
        <v>100</v>
      </c>
      <c r="B7" s="22">
        <v>451000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I17"/>
  <sheetViews>
    <sheetView workbookViewId="0">
      <selection sqref="A1:E8"/>
    </sheetView>
  </sheetViews>
  <sheetFormatPr defaultRowHeight="14.4" x14ac:dyDescent="0.3"/>
  <cols>
    <col min="1" max="1" width="13.44140625" customWidth="1"/>
    <col min="2" max="2" width="16.6640625" customWidth="1"/>
    <col min="3" max="3" width="13" customWidth="1"/>
    <col min="4" max="4" width="8" customWidth="1"/>
    <col min="5" max="5" width="10.5546875" customWidth="1"/>
  </cols>
  <sheetData>
    <row r="1" spans="1:9" x14ac:dyDescent="0.3">
      <c r="A1" s="12" t="s">
        <v>83</v>
      </c>
      <c r="B1" s="13" t="s">
        <v>84</v>
      </c>
      <c r="C1" s="13" t="s">
        <v>85</v>
      </c>
      <c r="D1" s="13" t="s">
        <v>86</v>
      </c>
      <c r="E1" s="14" t="s">
        <v>87</v>
      </c>
      <c r="F1" s="13" t="s">
        <v>98</v>
      </c>
    </row>
    <row r="2" spans="1:9" x14ac:dyDescent="0.3">
      <c r="A2" s="10">
        <v>1</v>
      </c>
      <c r="B2" s="1" t="s">
        <v>88</v>
      </c>
      <c r="C2" s="1" t="s">
        <v>89</v>
      </c>
      <c r="D2" s="1">
        <v>55000</v>
      </c>
      <c r="E2" s="11">
        <v>43059</v>
      </c>
      <c r="F2" s="19">
        <f ca="1">DATEDIF(Table2[[#This Row],[Hire Date]],TODAY(),"Y")</f>
        <v>8</v>
      </c>
      <c r="I2" t="s">
        <v>89</v>
      </c>
    </row>
    <row r="3" spans="1:9" x14ac:dyDescent="0.3">
      <c r="A3" s="10">
        <v>2</v>
      </c>
      <c r="B3" s="1" t="s">
        <v>90</v>
      </c>
      <c r="C3" s="1" t="s">
        <v>91</v>
      </c>
      <c r="D3" s="1">
        <v>65000</v>
      </c>
      <c r="E3" s="11">
        <v>43682</v>
      </c>
      <c r="F3" s="1">
        <f ca="1">DATEDIF(Table2[[#This Row],[Hire Date]],TODAY(),"Y")</f>
        <v>6</v>
      </c>
      <c r="I3" t="s">
        <v>91</v>
      </c>
    </row>
    <row r="4" spans="1:9" x14ac:dyDescent="0.3">
      <c r="A4" s="10">
        <v>3</v>
      </c>
      <c r="B4" s="1" t="s">
        <v>92</v>
      </c>
      <c r="C4" s="1" t="s">
        <v>93</v>
      </c>
      <c r="D4" s="1">
        <v>72000</v>
      </c>
      <c r="E4" s="11">
        <v>43146</v>
      </c>
      <c r="F4" s="1">
        <f ca="1">DATEDIF(Table2[[#This Row],[Hire Date]],TODAY(),"Y")</f>
        <v>8</v>
      </c>
      <c r="I4" t="s">
        <v>93</v>
      </c>
    </row>
    <row r="5" spans="1:9" x14ac:dyDescent="0.3">
      <c r="A5" s="10">
        <v>4</v>
      </c>
      <c r="B5" s="1" t="s">
        <v>94</v>
      </c>
      <c r="C5" s="1" t="s">
        <v>91</v>
      </c>
      <c r="D5" s="1">
        <v>63000</v>
      </c>
      <c r="E5" s="11">
        <v>43833</v>
      </c>
      <c r="F5" s="1">
        <f ca="1">DATEDIF(Table2[[#This Row],[Hire Date]],TODAY(),"Y")</f>
        <v>6</v>
      </c>
    </row>
    <row r="6" spans="1:9" x14ac:dyDescent="0.3">
      <c r="A6" s="10">
        <v>5</v>
      </c>
      <c r="B6" s="1" t="s">
        <v>95</v>
      </c>
      <c r="C6" s="1" t="s">
        <v>89</v>
      </c>
      <c r="D6" s="1">
        <v>58000</v>
      </c>
      <c r="E6" s="11">
        <v>42623</v>
      </c>
      <c r="F6" s="1">
        <f ca="1">DATEDIF(Table2[[#This Row],[Hire Date]],TODAY(),"Y")</f>
        <v>9</v>
      </c>
    </row>
    <row r="7" spans="1:9" x14ac:dyDescent="0.3">
      <c r="A7" s="10">
        <v>6</v>
      </c>
      <c r="B7" s="1" t="s">
        <v>96</v>
      </c>
      <c r="C7" s="1" t="s">
        <v>93</v>
      </c>
      <c r="D7" s="1">
        <v>68000</v>
      </c>
      <c r="E7" s="11">
        <v>42911</v>
      </c>
      <c r="F7" s="1">
        <f ca="1">DATEDIF(Table2[[#This Row],[Hire Date]],TODAY(),"Y")</f>
        <v>9</v>
      </c>
    </row>
    <row r="8" spans="1:9" x14ac:dyDescent="0.3">
      <c r="A8" s="15">
        <v>7</v>
      </c>
      <c r="B8" s="16" t="s">
        <v>97</v>
      </c>
      <c r="C8" s="16" t="s">
        <v>91</v>
      </c>
      <c r="D8" s="16">
        <v>70000</v>
      </c>
      <c r="E8" s="17">
        <v>43567</v>
      </c>
      <c r="F8" s="16">
        <f ca="1">DATEDIF(Table2[[#This Row],[Hire Date]],TODAY(),"Y")</f>
        <v>7</v>
      </c>
    </row>
    <row r="11" spans="1:9" x14ac:dyDescent="0.3">
      <c r="A11" t="str">
        <f>VLOOKUP(2,A2:E8,3,FALSE)</f>
        <v>Sales</v>
      </c>
      <c r="I11" t="s">
        <v>35</v>
      </c>
    </row>
    <row r="13" spans="1:9" x14ac:dyDescent="0.3">
      <c r="I13" t="s">
        <v>78</v>
      </c>
    </row>
    <row r="14" spans="1:9" x14ac:dyDescent="0.3">
      <c r="I14" t="s">
        <v>79</v>
      </c>
    </row>
    <row r="15" spans="1:9" x14ac:dyDescent="0.3">
      <c r="I15" t="s">
        <v>80</v>
      </c>
    </row>
    <row r="16" spans="1:9" x14ac:dyDescent="0.3">
      <c r="I16" t="s">
        <v>81</v>
      </c>
    </row>
    <row r="17" spans="9:9" x14ac:dyDescent="0.3">
      <c r="I17" t="s">
        <v>82</v>
      </c>
    </row>
  </sheetData>
  <conditionalFormatting sqref="D2:D8">
    <cfRule type="cellIs" dxfId="22" priority="1" operator="greaterThan">
      <formula>60000</formula>
    </cfRule>
  </conditionalFormatting>
  <dataValidations count="1">
    <dataValidation type="list" allowBlank="1" showInputMessage="1" showErrorMessage="1" sqref="G1" xr:uid="{C057E3C6-33CE-4D54-839C-92592C8EE82B}">
      <formula1>$I$2:$I$4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Task-1</vt:lpstr>
      <vt:lpstr>Task-2</vt:lpstr>
      <vt:lpstr>Task-3</vt:lpstr>
      <vt:lpstr>Task-4</vt:lpstr>
      <vt:lpstr>Sheet1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PANKHIL SURYAWANSHI</cp:lastModifiedBy>
  <dcterms:created xsi:type="dcterms:W3CDTF">2024-06-25T12:42:29Z</dcterms:created>
  <dcterms:modified xsi:type="dcterms:W3CDTF">2026-07-08T02:42:51Z</dcterms:modified>
</cp:coreProperties>
</file>