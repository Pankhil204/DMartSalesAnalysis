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"/>
    </mc:Choice>
  </mc:AlternateContent>
  <xr:revisionPtr revIDLastSave="0" documentId="13_ncr:10000001_{7BA156B1-3951-4735-9367-DDD1BDF85A1F}" xr6:coauthVersionLast="47" xr6:coauthVersionMax="47" xr10:uidLastSave="{00000000-0000-0000-0000-000000000000}"/>
  <bookViews>
    <workbookView xWindow="-96" yWindow="0" windowWidth="11712" windowHeight="13056" firstSheet="11" activeTab="12" xr2:uid="{00000000-000D-0000-FFFF-FFFF00000000}"/>
  </bookViews>
  <sheets>
    <sheet name="BoxPlot" sheetId="1" r:id="rId1"/>
    <sheet name="BoxPlot (2)" sheetId="2" r:id="rId2"/>
    <sheet name="Scatterplot1" sheetId="3" r:id="rId3"/>
    <sheet name="Scatterplot2" sheetId="13" r:id="rId4"/>
    <sheet name="WaterfallChart1" sheetId="4" r:id="rId5"/>
    <sheet name="WaterfallChart2" sheetId="5" r:id="rId6"/>
    <sheet name="WaterfallChart3" sheetId="6" r:id="rId7"/>
    <sheet name="Treemap1" sheetId="7" r:id="rId8"/>
    <sheet name="Treemap2" sheetId="8" r:id="rId9"/>
    <sheet name="Treemap3" sheetId="9" r:id="rId10"/>
    <sheet name="FunnelChart1" sheetId="10" r:id="rId11"/>
    <sheet name="FunnelChart2" sheetId="11" r:id="rId12"/>
    <sheet name="FunnelChart3" sheetId="12" r:id="rId13"/>
  </sheets>
  <definedNames>
    <definedName name="_xlchart.v1.0" hidden="1">BoxPlot!$B$4:$B$33</definedName>
    <definedName name="_xlchart.v1.1" hidden="1">'BoxPlot (2)'!$A$3</definedName>
    <definedName name="_xlchart.v1.10" hidden="1">WaterfallChart1!$B$3:$B$11</definedName>
    <definedName name="_xlchart.v1.11" hidden="1">WaterfallChart2!$A$3:$A$10</definedName>
    <definedName name="_xlchart.v1.12" hidden="1">WaterfallChart2!$B$3:$B$10</definedName>
    <definedName name="_xlchart.v1.13" hidden="1">WaterfallChart3!$A$3:$A$12</definedName>
    <definedName name="_xlchart.v1.14" hidden="1">WaterfallChart3!$B$3:$B$12</definedName>
    <definedName name="_xlchart.v1.15" hidden="1">Treemap1!$A$4:$B$15</definedName>
    <definedName name="_xlchart.v1.16" hidden="1">Treemap1!$C$3</definedName>
    <definedName name="_xlchart.v1.17" hidden="1">Treemap1!$C$4:$C$15</definedName>
    <definedName name="_xlchart.v1.18" hidden="1">Treemap2!$A$3:$B$14</definedName>
    <definedName name="_xlchart.v1.19" hidden="1">Treemap2!$C$3:$C$14</definedName>
    <definedName name="_xlchart.v1.2" hidden="1">'BoxPlot (2)'!$A$4:$A$13</definedName>
    <definedName name="_xlchart.v1.20" hidden="1">Treemap3!$A$3:$B$14</definedName>
    <definedName name="_xlchart.v1.21" hidden="1">Treemap3!$C$3:$C$14</definedName>
    <definedName name="_xlchart.v1.3" hidden="1">'BoxPlot (2)'!$B$3</definedName>
    <definedName name="_xlchart.v1.4" hidden="1">'BoxPlot (2)'!$B$4:$B$13</definedName>
    <definedName name="_xlchart.v1.5" hidden="1">'BoxPlot (2)'!$C$3</definedName>
    <definedName name="_xlchart.v1.6" hidden="1">'BoxPlot (2)'!$C$4:$C$13</definedName>
    <definedName name="_xlchart.v1.7" hidden="1">'BoxPlot (2)'!$D$3</definedName>
    <definedName name="_xlchart.v1.8" hidden="1">'BoxPlot (2)'!$D$4:$D$13</definedName>
    <definedName name="_xlchart.v1.9" hidden="1">WaterfallChart1!$A$3:$A$11</definedName>
    <definedName name="_xlchart.v2.22" hidden="1">FunnelChart1!$A$3:$A$8</definedName>
    <definedName name="_xlchart.v2.23" hidden="1">FunnelChart1!$B$2</definedName>
    <definedName name="_xlchart.v2.24" hidden="1">FunnelChart1!$B$3:$B$8</definedName>
    <definedName name="_xlchart.v2.25" hidden="1">FunnelChart2!$A$3:$A$8</definedName>
    <definedName name="_xlchart.v2.26" hidden="1">FunnelChart2!$B$3:$B$8</definedName>
    <definedName name="_xlchart.v2.27" hidden="1">FunnelChart3!$A$3:$A$9</definedName>
    <definedName name="_xlchart.v2.28" hidden="1">FunnelChart3!$B$3:$B$9</definedName>
    <definedName name="_xlchart.v2.29" hidden="1">FunnelChart3!$A$3:$A$9</definedName>
    <definedName name="_xlchart.v2.30" hidden="1">FunnelChart3!$B$3:$B$9</definedName>
    <definedName name="saree">BoxPlot!$B$4:$B$33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<sst xmlns="http://schemas.openxmlformats.org/spreadsheetml/2006/main" count="174" uniqueCount="128">
  <si>
    <t>Saree Prices (₹)</t>
  </si>
  <si>
    <t>Saree No.</t>
  </si>
  <si>
    <t>Price (₹)</t>
  </si>
  <si>
    <t>Cotton</t>
  </si>
  <si>
    <t>Silk</t>
  </si>
  <si>
    <t>Designer</t>
  </si>
  <si>
    <t>Banarasi</t>
  </si>
  <si>
    <t>Statistic</t>
  </si>
  <si>
    <t>Formula</t>
  </si>
  <si>
    <t>Minimum</t>
  </si>
  <si>
    <t>Q1</t>
  </si>
  <si>
    <t>Median</t>
  </si>
  <si>
    <t>Q3</t>
  </si>
  <si>
    <t>Maximum</t>
  </si>
  <si>
    <t>IQR</t>
  </si>
  <si>
    <t>Lower Fence</t>
  </si>
  <si>
    <t>Upper Fence</t>
  </si>
  <si>
    <t>Lower Whisker</t>
  </si>
  <si>
    <t>Upper Whisker</t>
  </si>
  <si>
    <t>Result</t>
  </si>
  <si>
    <t>`=MIN(range)</t>
  </si>
  <si>
    <t>`=QUARTILE.INC(range,1)</t>
  </si>
  <si>
    <t>`=MEDIAN(range)</t>
  </si>
  <si>
    <t>`=QUARTILE.INC(range,3)</t>
  </si>
  <si>
    <t>`=Q3-Q1</t>
  </si>
  <si>
    <t>`=Q1-1.5*IQR</t>
  </si>
  <si>
    <t>`=Q3+1.5*IQR</t>
  </si>
  <si>
    <t>`=MINIFS(range,range,"&gt;="&amp;LowerFence)</t>
  </si>
  <si>
    <t>`=MAXIFS(range,range,"&lt;="&amp;UpperFence)</t>
  </si>
  <si>
    <t>`=MAX(range)</t>
  </si>
  <si>
    <t>Advertising Spend (₹ Thousands)</t>
  </si>
  <si>
    <t>Sales Revenue (₹ Thousands)</t>
  </si>
  <si>
    <t>Category</t>
  </si>
  <si>
    <t>Amount (₹)</t>
  </si>
  <si>
    <t>Starting Balance</t>
  </si>
  <si>
    <t>Sales Revenue</t>
  </si>
  <si>
    <t>Returns</t>
  </si>
  <si>
    <t>Marketing Expense</t>
  </si>
  <si>
    <t>Employee Salaries</t>
  </si>
  <si>
    <t>Rent</t>
  </si>
  <si>
    <t>Miscellaneous Income</t>
  </si>
  <si>
    <t>Taxes</t>
  </si>
  <si>
    <t>Net Profit</t>
  </si>
  <si>
    <t>Initial Sales</t>
  </si>
  <si>
    <t>Online Orders</t>
  </si>
  <si>
    <t>Offline Orders</t>
  </si>
  <si>
    <t>Product Returns</t>
  </si>
  <si>
    <t>Discounts</t>
  </si>
  <si>
    <t>Shipping Charges</t>
  </si>
  <si>
    <t>GST</t>
  </si>
  <si>
    <t>Final Revenue</t>
  </si>
  <si>
    <t>Opening Balance</t>
  </si>
  <si>
    <t>Salary</t>
  </si>
  <si>
    <t>Freelancing Income</t>
  </si>
  <si>
    <t>House Rent</t>
  </si>
  <si>
    <t>Groceries</t>
  </si>
  <si>
    <t>Electricity Bill</t>
  </si>
  <si>
    <t>Internet Bill</t>
  </si>
  <si>
    <t>Entertainment</t>
  </si>
  <si>
    <t>Savings</t>
  </si>
  <si>
    <t>Closing Balance</t>
  </si>
  <si>
    <t>Region</t>
  </si>
  <si>
    <t>Sales (₹)</t>
  </si>
  <si>
    <t>North</t>
  </si>
  <si>
    <t>Electronics</t>
  </si>
  <si>
    <t>Clothing</t>
  </si>
  <si>
    <t>Furniture</t>
  </si>
  <si>
    <t>South</t>
  </si>
  <si>
    <t>East</t>
  </si>
  <si>
    <t>West</t>
  </si>
  <si>
    <t>Saree Type</t>
  </si>
  <si>
    <t>Brand</t>
  </si>
  <si>
    <t>Kanchipuram</t>
  </si>
  <si>
    <t>Paithani</t>
  </si>
  <si>
    <t>Bengal Cotton</t>
  </si>
  <si>
    <t>Chanderi</t>
  </si>
  <si>
    <t>Kota Doria</t>
  </si>
  <si>
    <t>Sabyasachi</t>
  </si>
  <si>
    <t>Manish Malhotra</t>
  </si>
  <si>
    <t>Tarun Tahiliani</t>
  </si>
  <si>
    <t>Wedding</t>
  </si>
  <si>
    <t>Bridal Collection</t>
  </si>
  <si>
    <t>Premium Collection</t>
  </si>
  <si>
    <t>Royal Collection</t>
  </si>
  <si>
    <t>Model</t>
  </si>
  <si>
    <t>Revenue (₹)</t>
  </si>
  <si>
    <t>Apple</t>
  </si>
  <si>
    <t>iPhone 15</t>
  </si>
  <si>
    <t>iPhone 15 Pro</t>
  </si>
  <si>
    <t>iPhone 14</t>
  </si>
  <si>
    <t>Samsung</t>
  </si>
  <si>
    <t>Galaxy S24</t>
  </si>
  <si>
    <t>Galaxy A55</t>
  </si>
  <si>
    <t>Galaxy M35</t>
  </si>
  <si>
    <t>OnePlus</t>
  </si>
  <si>
    <t>OnePlus 13</t>
  </si>
  <si>
    <t>Nord 4</t>
  </si>
  <si>
    <t>Nord CE4</t>
  </si>
  <si>
    <t>Xiaomi</t>
  </si>
  <si>
    <t>Redmi Note 14</t>
  </si>
  <si>
    <t>Redmi 14C</t>
  </si>
  <si>
    <t>Xiaomi 14</t>
  </si>
  <si>
    <t>Stage</t>
  </si>
  <si>
    <t>Customers</t>
  </si>
  <si>
    <t>Website Visitors</t>
  </si>
  <si>
    <t>Product Views</t>
  </si>
  <si>
    <t>Add to Cart</t>
  </si>
  <si>
    <t>Checkout Started</t>
  </si>
  <si>
    <t>Payment Completed</t>
  </si>
  <si>
    <t>Orders Delivered</t>
  </si>
  <si>
    <t>Admission Stage</t>
  </si>
  <si>
    <t>Students</t>
  </si>
  <si>
    <t>Applications Received</t>
  </si>
  <si>
    <t>Eligible Candidates</t>
  </si>
  <si>
    <t>Entrance Exam Qualified</t>
  </si>
  <si>
    <t>Interview Cleared</t>
  </si>
  <si>
    <t>Fee Paid</t>
  </si>
  <si>
    <t>Final Admission</t>
  </si>
  <si>
    <t>Hiring Stage</t>
  </si>
  <si>
    <t>Candidates</t>
  </si>
  <si>
    <t>Resume Shortlisted</t>
  </si>
  <si>
    <t>Aptitude Test Passed</t>
  </si>
  <si>
    <t>Technical Interview</t>
  </si>
  <si>
    <t>HR Interview</t>
  </si>
  <si>
    <t>Job Offers</t>
  </si>
  <si>
    <t>Joined Company</t>
  </si>
  <si>
    <t>Product Price (₹)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</si>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</sst>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195122484689416"/>
                  <c:y val="-9.6759259259259264E-3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Scatterplot1!$A$3:$A$17</c:f>
              <c:numCache>
                <c:formatCode>General</c:formatCode>
                <c:ptCount val="1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</c:numCache>
            </c:numRef>
          </c:xVal>
          <c:yVal>
            <c:numRef>
              <c:f>Scatterplot1!$B$3:$B$17</c:f>
              <c:numCache>
                <c:formatCode>General</c:formatCode>
                <c:ptCount val="15"/>
                <c:pt idx="0">
                  <c:v>180</c:v>
                </c:pt>
                <c:pt idx="1">
                  <c:v>195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  <c:pt idx="5">
                  <c:v>265</c:v>
                </c:pt>
                <c:pt idx="6">
                  <c:v>290</c:v>
                </c:pt>
                <c:pt idx="7">
                  <c:v>310</c:v>
                </c:pt>
                <c:pt idx="8">
                  <c:v>335</c:v>
                </c:pt>
                <c:pt idx="9">
                  <c:v>355</c:v>
                </c:pt>
                <c:pt idx="10">
                  <c:v>380</c:v>
                </c:pt>
                <c:pt idx="11">
                  <c:v>395</c:v>
                </c:pt>
                <c:pt idx="12">
                  <c:v>420</c:v>
                </c:pt>
                <c:pt idx="13">
                  <c:v>445</c:v>
                </c:pt>
                <c:pt idx="14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0-46A6-A3B7-521B47222EB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26933119"/>
        <c:axId val="826934559"/>
      </c:scatterChart>
      <c:valAx>
        <c:axId val="82693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Advertising</a:t>
                </a:r>
                <a:r>
                  <a:rPr lang="en-IN" baseline="0"/>
                  <a:t> Spend (₹Thousands)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34559"/>
        <c:crosses val="autoZero"/>
        <c:crossBetween val="midCat"/>
      </c:valAx>
      <c:valAx>
        <c:axId val="82693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Revenue(₹Thousands)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3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Scatterplot2!$B$2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47812773403327E-2"/>
                  <c:y val="-0.46963035870516184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Scatterplot2!$A$3:$A$17</c:f>
              <c:numCache>
                <c:formatCode>General</c:formatCode>
                <c:ptCount val="15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3100</c:v>
                </c:pt>
                <c:pt idx="14">
                  <c:v>3300</c:v>
                </c:pt>
              </c:numCache>
            </c:numRef>
          </c:xVal>
          <c:yVal>
            <c:numRef>
              <c:f>Scatterplot2!$B$3:$B$17</c:f>
              <c:numCache>
                <c:formatCode>General</c:formatCode>
                <c:ptCount val="15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790</c:v>
                </c:pt>
                <c:pt idx="4">
                  <c:v>730</c:v>
                </c:pt>
                <c:pt idx="5">
                  <c:v>680</c:v>
                </c:pt>
                <c:pt idx="6">
                  <c:v>610</c:v>
                </c:pt>
                <c:pt idx="7">
                  <c:v>560</c:v>
                </c:pt>
                <c:pt idx="8">
                  <c:v>500</c:v>
                </c:pt>
                <c:pt idx="9">
                  <c:v>450</c:v>
                </c:pt>
                <c:pt idx="10">
                  <c:v>390</c:v>
                </c:pt>
                <c:pt idx="11">
                  <c:v>340</c:v>
                </c:pt>
                <c:pt idx="12">
                  <c:v>290</c:v>
                </c:pt>
                <c:pt idx="13">
                  <c:v>240</c:v>
                </c:pt>
                <c:pt idx="1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D-4D29-A257-F2CDAE32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878879"/>
        <c:axId val="826884159"/>
      </c:scatterChart>
      <c:valAx>
        <c:axId val="82687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84159"/>
        <c:crosses val="autoZero"/>
        <c:crossBetween val="midCat"/>
      </c:valAx>
      <c:valAx>
        <c:axId val="82688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7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186E-4308-8148-21DD8599A90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Box Plot Saree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Saree Prices</a:t>
          </a:r>
        </a:p>
      </cx:txPr>
    </cx:title>
    <cx:plotArea>
      <cx:plotAreaRegion>
        <cx:series layoutId="boxWhisker" uniqueId="{00000000-85A3-44C2-9232-C68F7D5E3EFF}">
          <cx:tx>
            <cx:txData>
              <cx:f>_xlchart.v1.1</cx:f>
              <cx:v>Cotton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5A3-44C2-9232-C68F7D5E3EFF}">
          <cx:tx>
            <cx:txData>
              <cx:f>_xlchart.v1.3</cx:f>
              <cx:v>Silk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85A3-44C2-9232-C68F7D5E3EFF}">
          <cx:tx>
            <cx:txData>
              <cx:f>_xlchart.v1.5</cx:f>
              <cx:v>Designer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85A3-44C2-9232-C68F7D5E3EFF}">
          <cx:tx>
            <cx:txData>
              <cx:f>_xlchart.v1.7</cx:f>
              <cx:v>Banarasi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waterfall" uniqueId="{00000000-D762-49DB-833C-0BD93FF727D2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8"/>
            </cx:subtotals>
          </cx:layoutPr>
        </cx:series>
      </cx:plotAreaRegion>
      <cx:axis id="0">
        <cx:catScaling gapWidth="0.5"/>
        <cx:title>
          <cx:tx>
            <cx:txData>
              <cx:v>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Category</a:t>
              </a:r>
            </a:p>
          </cx:txPr>
        </cx:title>
        <cx:tickLabels/>
      </cx:axis>
      <cx:axis id="1">
        <cx:valScaling/>
        <cx:title>
          <cx:tx>
            <cx:txData>
              <cx:v>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Amount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/>
    <cx:plotArea>
      <cx:plotAreaRegion>
        <cx:series layoutId="waterfall" uniqueId="{00000000-655B-4591-B0D6-8FD661F26BC8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tle>
          <cx:tx>
            <cx:txData>
              <cx:v>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Category</a:t>
              </a:r>
            </a:p>
          </cx:txPr>
        </cx:title>
        <cx:tickLabels/>
      </cx:axis>
      <cx:axis id="1">
        <cx:valScaling/>
        <cx:title>
          <cx:tx>
            <cx:txData>
              <cx:v>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Amount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00000000-6AA5-48B4-A617-858DD7432DD7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tle>
          <cx:tx>
            <cx:txData>
              <cx:v>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Category</a:t>
              </a:r>
            </a:p>
          </cx:txPr>
        </cx:title>
        <cx:tickLabels/>
      </cx:axis>
      <cx:axis id="1">
        <cx:valScaling/>
        <cx:title>
          <cx:tx>
            <cx:txData>
              <cx:v>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Amount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/>
    <cx:plotArea>
      <cx:plotAreaRegion>
        <cx:series layoutId="treemap" uniqueId="{00000000-5E5B-461B-BE8E-CB604E27A7A0}">
          <cx:tx>
            <cx:txData>
              <cx:f>_xlchart.v1.16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_xlchart.v1.19</cx:f>
      </cx:numDim>
    </cx:data>
  </cx:chartData>
  <cx:chart>
    <cx:title pos="t" align="ctr" overlay="0"/>
    <cx:plotArea>
      <cx:plotAreaRegion>
        <cx:series layoutId="treemap" uniqueId="{DBB0E5D2-6C75-4F4B-A5FA-5DC884C14D51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size">
        <cx:f>_xlchart.v1.21</cx:f>
      </cx:numDim>
    </cx:data>
  </cx:chartData>
  <cx:chart>
    <cx:title pos="t" align="ctr" overlay="0"/>
    <cx:plotArea>
      <cx:plotAreaRegion>
        <cx:series layoutId="treemap" uniqueId="{AE09F318-4B9B-4D74-AE78-F8457DF5572E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_xlchart.v2.22</cx:f>
      </cx:strDim>
      <cx:numDim type="val">
        <cx:f>_xlchart.v2.24</cx:f>
      </cx:numDim>
    </cx:data>
  </cx:chartData>
  <cx:chart>
    <cx:title pos="t" align="ctr" overlay="0"/>
    <cx:plotArea>
      <cx:plotAreaRegion>
        <cx:series layoutId="funnel" uniqueId="{00000000-6143-4BD2-BC1D-E7CF197F8A84}">
          <cx:tx>
            <cx:txData>
              <cx:f>_xlchart.v2.23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_xlchart.v2.25</cx:f>
      </cx:strDim>
      <cx:numDim type="val">
        <cx:f>_xlchart.v2.26</cx:f>
      </cx:numDim>
    </cx:data>
  </cx:chartData>
  <cx:chart>
    <cx:title pos="t" align="ctr" overlay="0"/>
    <cx:plotArea>
      <cx:plotAreaRegion>
        <cx:series layoutId="funnel" uniqueId="{FC28ACA4-9D84-414D-AEC1-452E13B3DE9D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_xlchart.v2.27</cx:f>
      </cx:strDim>
      <cx:numDim type="val">
        <cx:f>_xlchart.v2.28</cx:f>
      </cx:numDim>
    </cx:data>
  </cx:chartData>
  <cx:chart>
    <cx:title pos="t" align="ctr" overlay="0"/>
    <cx:plotArea>
      <cx:plotAreaRegion>
        <cx:series layoutId="funnel" uniqueId="{D9C8E21F-B64B-49A2-B143-3F3BF8194843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15</xdr:row>
      <xdr:rowOff>0</xdr:rowOff>
    </xdr:from>
    <xdr:to>
      <xdr:col>8</xdr:col>
      <xdr:colOff>68942</xdr:colOff>
      <xdr:row>30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57D369-804C-C34D-1149-9431CB2097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799" y="3886200"/>
              <a:ext cx="4572363" cy="2764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96671</xdr:colOff>
      <xdr:row>2</xdr:row>
      <xdr:rowOff>11379</xdr:rowOff>
    </xdr:from>
    <xdr:to>
      <xdr:col>11</xdr:col>
      <xdr:colOff>409432</xdr:colOff>
      <xdr:row>17</xdr:row>
      <xdr:rowOff>25027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630335-8AAF-8E8C-721C-89933DC47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0522" y="4208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2</xdr:row>
      <xdr:rowOff>11430</xdr:rowOff>
    </xdr:from>
    <xdr:to>
      <xdr:col>9</xdr:col>
      <xdr:colOff>510540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35FF7-D96A-CB55-9B5D-1A3490A11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</xdr:row>
      <xdr:rowOff>346710</xdr:rowOff>
    </xdr:from>
    <xdr:to>
      <xdr:col>9</xdr:col>
      <xdr:colOff>525780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05C9B-2C33-C8D7-6289-12536AAA2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270029</xdr:colOff>
      <xdr:row>2</xdr:row>
      <xdr:rowOff>4438</xdr:rowOff>
    </xdr:from>
    <xdr:to>
      <xdr:col>12</xdr:col>
      <xdr:colOff>22194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CA08B1-C017-FAB0-DA27-E0DD5DA4FC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3311" y="551894"/>
              <a:ext cx="5818572" cy="4205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3810</xdr:rowOff>
    </xdr:from>
    <xdr:to>
      <xdr:col>9</xdr:col>
      <xdr:colOff>571500</xdr:colOff>
      <xdr:row>9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DBFEC6-F019-3A40-5DB3-7DC7313F8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720" y="186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179070</xdr:rowOff>
    </xdr:from>
    <xdr:to>
      <xdr:col>11</xdr:col>
      <xdr:colOff>38100</xdr:colOff>
      <xdr:row>12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F1671E5-624B-5E77-A026-530E20062A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60" y="179070"/>
              <a:ext cx="5501640" cy="3661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11430</xdr:rowOff>
    </xdr:from>
    <xdr:to>
      <xdr:col>13</xdr:col>
      <xdr:colOff>22860</xdr:colOff>
      <xdr:row>14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573A84-7BF6-0372-21DC-A72071F50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3100" y="560070"/>
              <a:ext cx="600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</xdr:row>
      <xdr:rowOff>361950</xdr:rowOff>
    </xdr:from>
    <xdr:to>
      <xdr:col>13</xdr:col>
      <xdr:colOff>0</xdr:colOff>
      <xdr:row>11</xdr:row>
      <xdr:rowOff>533400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9C166B-AB09-BB1D-322F-924F17D230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8820" y="544830"/>
              <a:ext cx="5935980" cy="3280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34290</xdr:rowOff>
    </xdr:from>
    <xdr:to>
      <xdr:col>10</xdr:col>
      <xdr:colOff>449580</xdr:colOff>
      <xdr:row>10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794898-D7EA-43AD-6CA0-023D924757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580" y="5829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49530</xdr:rowOff>
    </xdr:from>
    <xdr:to>
      <xdr:col>9</xdr:col>
      <xdr:colOff>556260</xdr:colOff>
      <xdr:row>8</xdr:row>
      <xdr:rowOff>49530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341F56-22B1-4B8A-5A19-006A19F109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0660" y="232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270510</xdr:rowOff>
    </xdr:from>
    <xdr:to>
      <xdr:col>9</xdr:col>
      <xdr:colOff>533400</xdr:colOff>
      <xdr:row>7</xdr:row>
      <xdr:rowOff>453390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9342AF-4165-D6FF-DDB7-AA1596EF6E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453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34290</xdr:rowOff>
    </xdr:from>
    <xdr:to>
      <xdr:col>13</xdr:col>
      <xdr:colOff>129540</xdr:colOff>
      <xdr:row>10</xdr:row>
      <xdr:rowOff>34290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74CDDA-46B5-08A0-5B92-61EEC00581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0" y="1131570"/>
              <a:ext cx="67970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3" zoomScale="105" zoomScaleNormal="70" workbookViewId="0">
      <selection activeCell="H14" sqref="H14"/>
    </sheetView>
  </sheetViews>
  <sheetFormatPr defaultRowHeight="14.4"/>
  <cols>
    <col min="5" max="5" width="24.5546875" customWidth="1"/>
  </cols>
  <sheetData>
    <row r="1" spans="1:6" ht="18">
      <c r="A1" s="1" t="s">
        <v>0</v>
      </c>
    </row>
    <row r="3" spans="1:6" ht="28.8">
      <c r="A3" s="4" t="s">
        <v>1</v>
      </c>
      <c r="B3" s="4" t="s">
        <v>2</v>
      </c>
    </row>
    <row r="4" spans="1:6">
      <c r="A4" s="5">
        <v>1</v>
      </c>
      <c r="B4" s="5">
        <v>850</v>
      </c>
      <c r="D4" s="4" t="s">
        <v>7</v>
      </c>
      <c r="E4" s="4" t="s">
        <v>8</v>
      </c>
      <c r="F4" s="11" t="s">
        <v>19</v>
      </c>
    </row>
    <row r="5" spans="1:6">
      <c r="A5" s="5">
        <v>2</v>
      </c>
      <c r="B5" s="5">
        <v>920</v>
      </c>
      <c r="D5" s="5" t="s">
        <v>9</v>
      </c>
      <c r="E5" s="10" t="s">
        <v>20</v>
      </c>
      <c r="F5" s="11">
        <f>MIN(saree)</f>
        <v>850</v>
      </c>
    </row>
    <row r="6" spans="1:6">
      <c r="A6" s="5">
        <v>3</v>
      </c>
      <c r="B6" s="5">
        <v>980</v>
      </c>
      <c r="D6" s="5" t="s">
        <v>10</v>
      </c>
      <c r="E6" s="10" t="s">
        <v>21</v>
      </c>
      <c r="F6" s="11">
        <f>_xlfn.QUARTILE.INC(saree,1)</f>
        <v>1262.5</v>
      </c>
    </row>
    <row r="7" spans="1:6">
      <c r="A7" s="5">
        <v>4</v>
      </c>
      <c r="B7" s="5">
        <v>1050</v>
      </c>
      <c r="D7" s="5" t="s">
        <v>11</v>
      </c>
      <c r="E7" s="10" t="s">
        <v>22</v>
      </c>
      <c r="F7" s="11">
        <f>MEDIAN(saree)</f>
        <v>1625</v>
      </c>
    </row>
    <row r="8" spans="1:6">
      <c r="A8" s="5">
        <v>5</v>
      </c>
      <c r="B8" s="5">
        <v>1100</v>
      </c>
      <c r="D8" s="5" t="s">
        <v>12</v>
      </c>
      <c r="E8" s="10" t="s">
        <v>23</v>
      </c>
      <c r="F8" s="11">
        <f>_xlfn.QUARTILE.INC(saree,3)</f>
        <v>2350</v>
      </c>
    </row>
    <row r="9" spans="1:6" ht="28.8">
      <c r="A9" s="5">
        <v>6</v>
      </c>
      <c r="B9" s="5">
        <v>1150</v>
      </c>
      <c r="D9" s="5" t="s">
        <v>13</v>
      </c>
      <c r="E9" s="10" t="s">
        <v>29</v>
      </c>
      <c r="F9" s="11">
        <f>MAX(saree)</f>
        <v>12000</v>
      </c>
    </row>
    <row r="10" spans="1:6">
      <c r="A10" s="5">
        <v>7</v>
      </c>
      <c r="B10" s="5">
        <v>1200</v>
      </c>
      <c r="D10" s="5" t="s">
        <v>14</v>
      </c>
      <c r="E10" s="10" t="s">
        <v>24</v>
      </c>
      <c r="F10" s="11">
        <f>F8-F6</f>
        <v>1087.5</v>
      </c>
    </row>
    <row r="11" spans="1:6" ht="28.8">
      <c r="A11" s="5">
        <v>8</v>
      </c>
      <c r="B11" s="5">
        <v>1250</v>
      </c>
      <c r="D11" s="5" t="s">
        <v>15</v>
      </c>
      <c r="E11" s="10" t="s">
        <v>25</v>
      </c>
      <c r="F11" s="11">
        <f>F6-(1.5*F10)</f>
        <v>-368.75</v>
      </c>
    </row>
    <row r="12" spans="1:6" ht="28.8">
      <c r="A12" s="5">
        <v>9</v>
      </c>
      <c r="B12" s="5">
        <v>1300</v>
      </c>
      <c r="D12" s="5" t="s">
        <v>16</v>
      </c>
      <c r="E12" s="10" t="s">
        <v>26</v>
      </c>
      <c r="F12" s="11">
        <f>F8+1.5*F10</f>
        <v>3981.25</v>
      </c>
    </row>
    <row r="13" spans="1:6" ht="28.8">
      <c r="A13" s="5">
        <v>10</v>
      </c>
      <c r="B13" s="5">
        <v>1350</v>
      </c>
      <c r="D13" s="5" t="s">
        <v>17</v>
      </c>
      <c r="E13" s="10" t="s">
        <v>27</v>
      </c>
      <c r="F13" s="11">
        <f>_xlfn.MINIFS(saree,saree,"&gt;="&amp;F11)</f>
        <v>850</v>
      </c>
    </row>
    <row r="14" spans="1:6" ht="28.8">
      <c r="A14" s="5">
        <v>11</v>
      </c>
      <c r="B14" s="5">
        <v>1400</v>
      </c>
      <c r="D14" s="5" t="s">
        <v>18</v>
      </c>
      <c r="E14" s="10" t="s">
        <v>28</v>
      </c>
      <c r="F14" s="11">
        <f>_xlfn.MAXIFS(saree,saree,"&lt;="&amp;F12)</f>
        <v>3500</v>
      </c>
    </row>
    <row r="15" spans="1:6">
      <c r="A15" s="5">
        <v>12</v>
      </c>
      <c r="B15" s="5">
        <v>1450</v>
      </c>
    </row>
    <row r="16" spans="1:6">
      <c r="A16" s="5">
        <v>13</v>
      </c>
      <c r="B16" s="5">
        <v>1500</v>
      </c>
    </row>
    <row r="17" spans="1:2">
      <c r="A17" s="5">
        <v>14</v>
      </c>
      <c r="B17" s="5">
        <v>1550</v>
      </c>
    </row>
    <row r="18" spans="1:2">
      <c r="A18" s="5">
        <v>15</v>
      </c>
      <c r="B18" s="5">
        <v>1600</v>
      </c>
    </row>
    <row r="19" spans="1:2">
      <c r="A19" s="5">
        <v>16</v>
      </c>
      <c r="B19" s="5">
        <v>1650</v>
      </c>
    </row>
    <row r="20" spans="1:2">
      <c r="A20" s="5">
        <v>17</v>
      </c>
      <c r="B20" s="5">
        <v>1700</v>
      </c>
    </row>
    <row r="21" spans="1:2">
      <c r="A21" s="5">
        <v>18</v>
      </c>
      <c r="B21" s="5">
        <v>1800</v>
      </c>
    </row>
    <row r="22" spans="1:2">
      <c r="A22" s="5">
        <v>19</v>
      </c>
      <c r="B22" s="5">
        <v>1900</v>
      </c>
    </row>
    <row r="23" spans="1:2">
      <c r="A23" s="5">
        <v>20</v>
      </c>
      <c r="B23" s="5">
        <v>2000</v>
      </c>
    </row>
    <row r="24" spans="1:2">
      <c r="A24" s="5">
        <v>21</v>
      </c>
      <c r="B24" s="5">
        <v>2100</v>
      </c>
    </row>
    <row r="25" spans="1:2">
      <c r="A25" s="5">
        <v>22</v>
      </c>
      <c r="B25" s="5">
        <v>2200</v>
      </c>
    </row>
    <row r="26" spans="1:2">
      <c r="A26" s="5">
        <v>23</v>
      </c>
      <c r="B26" s="5">
        <v>2400</v>
      </c>
    </row>
    <row r="27" spans="1:2">
      <c r="A27" s="5">
        <v>24</v>
      </c>
      <c r="B27" s="5">
        <v>2600</v>
      </c>
    </row>
    <row r="28" spans="1:2">
      <c r="A28" s="5">
        <v>25</v>
      </c>
      <c r="B28" s="5">
        <v>2800</v>
      </c>
    </row>
    <row r="29" spans="1:2">
      <c r="A29" s="5">
        <v>26</v>
      </c>
      <c r="B29" s="5">
        <v>3000</v>
      </c>
    </row>
    <row r="30" spans="1:2">
      <c r="A30" s="5">
        <v>27</v>
      </c>
      <c r="B30" s="5">
        <v>3200</v>
      </c>
    </row>
    <row r="31" spans="1:2">
      <c r="A31" s="5">
        <v>28</v>
      </c>
      <c r="B31" s="5">
        <v>3500</v>
      </c>
    </row>
    <row r="32" spans="1:2">
      <c r="A32" s="5">
        <v>29</v>
      </c>
      <c r="B32" s="5">
        <v>8500</v>
      </c>
    </row>
    <row r="33" spans="1:2">
      <c r="A33" s="5">
        <v>30</v>
      </c>
      <c r="B33" s="5">
        <v>12000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EF3-D6EE-4A6D-AA90-DACDDDF1CE03}">
  <dimension ref="A1:D33"/>
  <sheetViews>
    <sheetView zoomScale="105" workbookViewId="0">
      <selection activeCell="C19" sqref="C19"/>
    </sheetView>
  </sheetViews>
  <sheetFormatPr defaultRowHeight="14.4"/>
  <sheetData>
    <row r="1" spans="1:4" ht="18">
      <c r="A1" s="1" t="s">
        <v>0</v>
      </c>
    </row>
    <row r="3" spans="1:4">
      <c r="A3" s="4" t="s">
        <v>3</v>
      </c>
      <c r="B3" s="4" t="s">
        <v>4</v>
      </c>
      <c r="C3" s="4" t="s">
        <v>5</v>
      </c>
      <c r="D3" s="4" t="s">
        <v>6</v>
      </c>
    </row>
    <row r="4" spans="1:4">
      <c r="A4" s="9">
        <v>650</v>
      </c>
      <c r="B4" s="9">
        <v>2200</v>
      </c>
      <c r="C4" s="9">
        <v>4500</v>
      </c>
      <c r="D4" s="9">
        <v>3000</v>
      </c>
    </row>
    <row r="5" spans="1:4">
      <c r="A5" s="9">
        <v>720</v>
      </c>
      <c r="B5" s="9">
        <v>2400</v>
      </c>
      <c r="C5" s="9">
        <v>5000</v>
      </c>
      <c r="D5" s="9">
        <v>3200</v>
      </c>
    </row>
    <row r="6" spans="1:4">
      <c r="A6" s="9">
        <v>800</v>
      </c>
      <c r="B6" s="9">
        <v>2600</v>
      </c>
      <c r="C6" s="9">
        <v>5500</v>
      </c>
      <c r="D6" s="9">
        <v>3400</v>
      </c>
    </row>
    <row r="7" spans="1:4">
      <c r="A7" s="9">
        <v>850</v>
      </c>
      <c r="B7" s="9">
        <v>2800</v>
      </c>
      <c r="C7" s="9">
        <v>6000</v>
      </c>
      <c r="D7" s="9">
        <v>3600</v>
      </c>
    </row>
    <row r="8" spans="1:4">
      <c r="A8" s="9">
        <v>900</v>
      </c>
      <c r="B8" s="9">
        <v>3000</v>
      </c>
      <c r="C8" s="9">
        <v>6500</v>
      </c>
      <c r="D8" s="9">
        <v>3800</v>
      </c>
    </row>
    <row r="9" spans="1:4">
      <c r="A9" s="9">
        <v>950</v>
      </c>
      <c r="B9" s="9">
        <v>3200</v>
      </c>
      <c r="C9" s="9">
        <v>7000</v>
      </c>
      <c r="D9" s="9">
        <v>4000</v>
      </c>
    </row>
    <row r="10" spans="1:4">
      <c r="A10" s="9">
        <v>1000</v>
      </c>
      <c r="B10" s="9">
        <v>3400</v>
      </c>
      <c r="C10" s="9">
        <v>7500</v>
      </c>
      <c r="D10" s="9">
        <v>4200</v>
      </c>
    </row>
    <row r="11" spans="1:4">
      <c r="A11" s="9">
        <v>1050</v>
      </c>
      <c r="B11" s="9">
        <v>3600</v>
      </c>
      <c r="C11" s="9">
        <v>8000</v>
      </c>
      <c r="D11" s="9">
        <v>4500</v>
      </c>
    </row>
    <row r="12" spans="1:4">
      <c r="A12" s="9">
        <v>1100</v>
      </c>
      <c r="B12" s="9">
        <v>3800</v>
      </c>
      <c r="C12" s="9">
        <v>12000</v>
      </c>
      <c r="D12" s="9">
        <v>5000</v>
      </c>
    </row>
    <row r="13" spans="1:4">
      <c r="A13" s="9">
        <v>1200</v>
      </c>
      <c r="B13" s="9">
        <v>4200</v>
      </c>
      <c r="C13" s="9">
        <v>18000</v>
      </c>
      <c r="D13" s="9">
        <v>6500</v>
      </c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CDF-A16B-4D6F-B67E-778D3B9B98BE}">
  <dimension ref="A2:B17"/>
  <sheetViews>
    <sheetView topLeftCell="C2" workbookViewId="0">
      <selection activeCell="L16" sqref="L16"/>
    </sheetView>
  </sheetViews>
  <sheetFormatPr defaultRowHeight="14.4"/>
  <cols>
    <col min="1" max="1" width="10.77734375" customWidth="1"/>
    <col min="2" max="2" width="11.5546875" customWidth="1"/>
  </cols>
  <sheetData>
    <row r="2" spans="1:2" ht="72">
      <c r="A2" s="7" t="s">
        <v>30</v>
      </c>
      <c r="B2" s="7" t="s">
        <v>31</v>
      </c>
    </row>
    <row r="3" spans="1:2">
      <c r="A3" s="6">
        <v>20</v>
      </c>
      <c r="B3" s="6">
        <v>180</v>
      </c>
    </row>
    <row r="4" spans="1:2">
      <c r="A4" s="6">
        <v>25</v>
      </c>
      <c r="B4" s="6">
        <v>195</v>
      </c>
    </row>
    <row r="5" spans="1:2">
      <c r="A5" s="6">
        <v>30</v>
      </c>
      <c r="B5" s="6">
        <v>210</v>
      </c>
    </row>
    <row r="6" spans="1:2">
      <c r="A6" s="6">
        <v>35</v>
      </c>
      <c r="B6" s="6">
        <v>235</v>
      </c>
    </row>
    <row r="7" spans="1:2">
      <c r="A7" s="6">
        <v>40</v>
      </c>
      <c r="B7" s="6">
        <v>250</v>
      </c>
    </row>
    <row r="8" spans="1:2">
      <c r="A8" s="6">
        <v>45</v>
      </c>
      <c r="B8" s="6">
        <v>265</v>
      </c>
    </row>
    <row r="9" spans="1:2">
      <c r="A9" s="6">
        <v>50</v>
      </c>
      <c r="B9" s="6">
        <v>290</v>
      </c>
    </row>
    <row r="10" spans="1:2">
      <c r="A10" s="6">
        <v>55</v>
      </c>
      <c r="B10" s="6">
        <v>310</v>
      </c>
    </row>
    <row r="11" spans="1:2">
      <c r="A11" s="6">
        <v>60</v>
      </c>
      <c r="B11" s="6">
        <v>335</v>
      </c>
    </row>
    <row r="12" spans="1:2">
      <c r="A12" s="6">
        <v>65</v>
      </c>
      <c r="B12" s="6">
        <v>355</v>
      </c>
    </row>
    <row r="13" spans="1:2">
      <c r="A13" s="6">
        <v>70</v>
      </c>
      <c r="B13" s="6">
        <v>380</v>
      </c>
    </row>
    <row r="14" spans="1:2">
      <c r="A14" s="6">
        <v>75</v>
      </c>
      <c r="B14" s="6">
        <v>395</v>
      </c>
    </row>
    <row r="15" spans="1:2">
      <c r="A15" s="6">
        <v>80</v>
      </c>
      <c r="B15" s="6">
        <v>420</v>
      </c>
    </row>
    <row r="16" spans="1:2">
      <c r="A16" s="6">
        <v>85</v>
      </c>
      <c r="B16" s="6">
        <v>445</v>
      </c>
    </row>
    <row r="17" spans="1:2">
      <c r="A17" s="6">
        <v>90</v>
      </c>
      <c r="B17" s="6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DC4-D078-4ECE-8ECB-CC7EF237A07A}">
  <dimension ref="A2:B17"/>
  <sheetViews>
    <sheetView workbookViewId="0">
      <selection activeCell="I18" sqref="I18"/>
    </sheetView>
  </sheetViews>
  <sheetFormatPr defaultRowHeight="14.4"/>
  <sheetData>
    <row r="2" spans="1:2" ht="28.8">
      <c r="A2" s="8" t="s">
        <v>126</v>
      </c>
      <c r="B2" s="8" t="s">
        <v>127</v>
      </c>
    </row>
    <row r="3" spans="1:2">
      <c r="A3" s="9">
        <v>500</v>
      </c>
      <c r="B3" s="9">
        <v>950</v>
      </c>
    </row>
    <row r="4" spans="1:2">
      <c r="A4" s="9">
        <v>700</v>
      </c>
      <c r="B4" s="9">
        <v>900</v>
      </c>
    </row>
    <row r="5" spans="1:2">
      <c r="A5" s="9">
        <v>900</v>
      </c>
      <c r="B5" s="9">
        <v>850</v>
      </c>
    </row>
    <row r="6" spans="1:2">
      <c r="A6" s="9">
        <v>1100</v>
      </c>
      <c r="B6" s="9">
        <v>790</v>
      </c>
    </row>
    <row r="7" spans="1:2">
      <c r="A7" s="9">
        <v>1300</v>
      </c>
      <c r="B7" s="9">
        <v>730</v>
      </c>
    </row>
    <row r="8" spans="1:2">
      <c r="A8" s="9">
        <v>1500</v>
      </c>
      <c r="B8" s="9">
        <v>680</v>
      </c>
    </row>
    <row r="9" spans="1:2">
      <c r="A9" s="9">
        <v>1700</v>
      </c>
      <c r="B9" s="9">
        <v>610</v>
      </c>
    </row>
    <row r="10" spans="1:2">
      <c r="A10" s="9">
        <v>1900</v>
      </c>
      <c r="B10" s="9">
        <v>560</v>
      </c>
    </row>
    <row r="11" spans="1:2">
      <c r="A11" s="9">
        <v>2100</v>
      </c>
      <c r="B11" s="9">
        <v>500</v>
      </c>
    </row>
    <row r="12" spans="1:2">
      <c r="A12" s="9">
        <v>2300</v>
      </c>
      <c r="B12" s="9">
        <v>450</v>
      </c>
    </row>
    <row r="13" spans="1:2">
      <c r="A13" s="9">
        <v>2500</v>
      </c>
      <c r="B13" s="9">
        <v>390</v>
      </c>
    </row>
    <row r="14" spans="1:2">
      <c r="A14" s="9">
        <v>2700</v>
      </c>
      <c r="B14" s="9">
        <v>340</v>
      </c>
    </row>
    <row r="15" spans="1:2">
      <c r="A15" s="9">
        <v>2900</v>
      </c>
      <c r="B15" s="9">
        <v>290</v>
      </c>
    </row>
    <row r="16" spans="1:2">
      <c r="A16" s="9">
        <v>3100</v>
      </c>
      <c r="B16" s="9">
        <v>240</v>
      </c>
    </row>
    <row r="17" spans="1:2">
      <c r="A17" s="9">
        <v>3300</v>
      </c>
      <c r="B17" s="9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E4-BAB6-47CB-A4FC-CE6603FF5666}">
  <dimension ref="A2:B11"/>
  <sheetViews>
    <sheetView topLeftCell="A3" zoomScale="103" workbookViewId="0">
      <selection activeCell="C11" sqref="C11"/>
    </sheetView>
  </sheetViews>
  <sheetFormatPr defaultRowHeight="14.4"/>
  <sheetData>
    <row r="2" spans="1:2" ht="28.8">
      <c r="A2" s="2" t="s">
        <v>32</v>
      </c>
      <c r="B2" s="7" t="s">
        <v>33</v>
      </c>
    </row>
    <row r="3" spans="1:2" ht="28.8">
      <c r="A3" s="3" t="s">
        <v>34</v>
      </c>
      <c r="B3" s="6">
        <v>500000</v>
      </c>
    </row>
    <row r="4" spans="1:2" ht="28.8">
      <c r="A4" s="3" t="s">
        <v>35</v>
      </c>
      <c r="B4" s="6">
        <v>250000</v>
      </c>
    </row>
    <row r="5" spans="1:2">
      <c r="A5" s="3" t="s">
        <v>36</v>
      </c>
      <c r="B5" s="6">
        <v>-30000</v>
      </c>
    </row>
    <row r="6" spans="1:2" ht="43.2">
      <c r="A6" s="3" t="s">
        <v>37</v>
      </c>
      <c r="B6" s="6">
        <v>-50000</v>
      </c>
    </row>
    <row r="7" spans="1:2" ht="28.8">
      <c r="A7" s="3" t="s">
        <v>38</v>
      </c>
      <c r="B7" s="6">
        <v>-120000</v>
      </c>
    </row>
    <row r="8" spans="1:2">
      <c r="A8" s="3" t="s">
        <v>39</v>
      </c>
      <c r="B8" s="6">
        <v>-30000</v>
      </c>
    </row>
    <row r="9" spans="1:2" ht="43.2">
      <c r="A9" s="3" t="s">
        <v>40</v>
      </c>
      <c r="B9" s="6">
        <v>20000</v>
      </c>
    </row>
    <row r="10" spans="1:2">
      <c r="A10" s="3" t="s">
        <v>41</v>
      </c>
      <c r="B10" s="6">
        <v>-40000</v>
      </c>
    </row>
    <row r="11" spans="1:2" ht="28.8">
      <c r="A11" s="3" t="s">
        <v>42</v>
      </c>
      <c r="B11" s="6">
        <v>500000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33B-D5CD-49D5-A875-219CBBDDA7F5}">
  <dimension ref="A2:B10"/>
  <sheetViews>
    <sheetView workbookViewId="0">
      <selection activeCell="I10" sqref="I10"/>
    </sheetView>
  </sheetViews>
  <sheetFormatPr defaultRowHeight="14.4"/>
  <cols>
    <col min="1" max="1" width="8.21875" bestFit="1" customWidth="1"/>
    <col min="2" max="2" width="10.77734375" customWidth="1"/>
  </cols>
  <sheetData>
    <row r="2" spans="1:2" ht="28.8">
      <c r="A2" s="4" t="s">
        <v>32</v>
      </c>
      <c r="B2" s="8" t="s">
        <v>33</v>
      </c>
    </row>
    <row r="3" spans="1:2" ht="28.8">
      <c r="A3" s="5" t="s">
        <v>43</v>
      </c>
      <c r="B3" s="9">
        <v>1000000</v>
      </c>
    </row>
    <row r="4" spans="1:2" ht="28.8">
      <c r="A4" s="5" t="s">
        <v>44</v>
      </c>
      <c r="B4" s="9">
        <v>350000</v>
      </c>
    </row>
    <row r="5" spans="1:2" ht="28.8">
      <c r="A5" s="5" t="s">
        <v>45</v>
      </c>
      <c r="B5" s="9">
        <v>200000</v>
      </c>
    </row>
    <row r="6" spans="1:2" ht="28.8">
      <c r="A6" s="5" t="s">
        <v>46</v>
      </c>
      <c r="B6" s="9">
        <v>-80000</v>
      </c>
    </row>
    <row r="7" spans="1:2" ht="28.8">
      <c r="A7" s="5" t="s">
        <v>47</v>
      </c>
      <c r="B7" s="9">
        <v>-120000</v>
      </c>
    </row>
    <row r="8" spans="1:2" ht="28.8">
      <c r="A8" s="5" t="s">
        <v>48</v>
      </c>
      <c r="B8" s="9">
        <v>50000</v>
      </c>
    </row>
    <row r="9" spans="1:2">
      <c r="A9" s="5" t="s">
        <v>49</v>
      </c>
      <c r="B9" s="9">
        <v>-70000</v>
      </c>
    </row>
    <row r="10" spans="1:2" ht="28.8">
      <c r="A10" s="5" t="s">
        <v>50</v>
      </c>
      <c r="B10" s="9">
        <v>1330000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017-E945-44BE-BF43-5524C9326878}">
  <dimension ref="A2:B12"/>
  <sheetViews>
    <sheetView workbookViewId="0">
      <selection activeCell="C13" sqref="C13"/>
    </sheetView>
  </sheetViews>
  <sheetFormatPr defaultRowHeight="14.4"/>
  <sheetData>
    <row r="2" spans="1:2" ht="28.8">
      <c r="A2" s="4" t="s">
        <v>32</v>
      </c>
      <c r="B2" s="8" t="s">
        <v>33</v>
      </c>
    </row>
    <row r="3" spans="1:2" ht="28.8">
      <c r="A3" s="5" t="s">
        <v>51</v>
      </c>
      <c r="B3" s="9">
        <v>50000</v>
      </c>
    </row>
    <row r="4" spans="1:2">
      <c r="A4" s="5" t="s">
        <v>52</v>
      </c>
      <c r="B4" s="9">
        <v>60000</v>
      </c>
    </row>
    <row r="5" spans="1:2" ht="43.2">
      <c r="A5" s="5" t="s">
        <v>53</v>
      </c>
      <c r="B5" s="9">
        <v>15000</v>
      </c>
    </row>
    <row r="6" spans="1:2" ht="28.8">
      <c r="A6" s="5" t="s">
        <v>54</v>
      </c>
      <c r="B6" s="9">
        <v>-18000</v>
      </c>
    </row>
    <row r="7" spans="1:2">
      <c r="A7" s="5" t="s">
        <v>55</v>
      </c>
      <c r="B7" s="9">
        <v>-9000</v>
      </c>
    </row>
    <row r="8" spans="1:2" ht="28.8">
      <c r="A8" s="5" t="s">
        <v>56</v>
      </c>
      <c r="B8" s="9">
        <v>-2500</v>
      </c>
    </row>
    <row r="9" spans="1:2" ht="28.8">
      <c r="A9" s="5" t="s">
        <v>57</v>
      </c>
      <c r="B9" s="9">
        <v>-1200</v>
      </c>
    </row>
    <row r="10" spans="1:2" ht="28.8">
      <c r="A10" s="5" t="s">
        <v>58</v>
      </c>
      <c r="B10" s="9">
        <v>-4500</v>
      </c>
    </row>
    <row r="11" spans="1:2">
      <c r="A11" s="5" t="s">
        <v>59</v>
      </c>
      <c r="B11" s="9">
        <v>-10000</v>
      </c>
    </row>
    <row r="12" spans="1:2" ht="28.8">
      <c r="A12" s="5" t="s">
        <v>60</v>
      </c>
      <c r="B12" s="9">
        <v>79800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708A-CC49-40B2-B4F4-1446D2216D3B}">
  <dimension ref="A3:C15"/>
  <sheetViews>
    <sheetView workbookViewId="0">
      <selection activeCell="A3" sqref="A3:C15"/>
    </sheetView>
  </sheetViews>
  <sheetFormatPr defaultRowHeight="14.4"/>
  <sheetData>
    <row r="3" spans="1:3">
      <c r="A3" s="4" t="s">
        <v>61</v>
      </c>
      <c r="B3" s="4" t="s">
        <v>32</v>
      </c>
      <c r="C3" s="8" t="s">
        <v>62</v>
      </c>
    </row>
    <row r="4" spans="1:3" ht="28.8">
      <c r="A4" s="5" t="s">
        <v>63</v>
      </c>
      <c r="B4" s="5" t="s">
        <v>64</v>
      </c>
      <c r="C4" s="9">
        <v>850000</v>
      </c>
    </row>
    <row r="5" spans="1:3">
      <c r="A5" s="5" t="s">
        <v>63</v>
      </c>
      <c r="B5" s="5" t="s">
        <v>65</v>
      </c>
      <c r="C5" s="9">
        <v>520000</v>
      </c>
    </row>
    <row r="6" spans="1:3">
      <c r="A6" s="5" t="s">
        <v>63</v>
      </c>
      <c r="B6" s="5" t="s">
        <v>66</v>
      </c>
      <c r="C6" s="9">
        <v>310000</v>
      </c>
    </row>
    <row r="7" spans="1:3" ht="28.8">
      <c r="A7" s="5" t="s">
        <v>67</v>
      </c>
      <c r="B7" s="5" t="s">
        <v>64</v>
      </c>
      <c r="C7" s="9">
        <v>920000</v>
      </c>
    </row>
    <row r="8" spans="1:3">
      <c r="A8" s="5" t="s">
        <v>67</v>
      </c>
      <c r="B8" s="5" t="s">
        <v>65</v>
      </c>
      <c r="C8" s="9">
        <v>480000</v>
      </c>
    </row>
    <row r="9" spans="1:3">
      <c r="A9" s="5" t="s">
        <v>67</v>
      </c>
      <c r="B9" s="5" t="s">
        <v>66</v>
      </c>
      <c r="C9" s="9">
        <v>370000</v>
      </c>
    </row>
    <row r="10" spans="1:3" ht="28.8">
      <c r="A10" s="5" t="s">
        <v>68</v>
      </c>
      <c r="B10" s="5" t="s">
        <v>64</v>
      </c>
      <c r="C10" s="9">
        <v>610000</v>
      </c>
    </row>
    <row r="11" spans="1:3">
      <c r="A11" s="5" t="s">
        <v>68</v>
      </c>
      <c r="B11" s="5" t="s">
        <v>65</v>
      </c>
      <c r="C11" s="9">
        <v>430000</v>
      </c>
    </row>
    <row r="12" spans="1:3">
      <c r="A12" s="5" t="s">
        <v>68</v>
      </c>
      <c r="B12" s="5" t="s">
        <v>66</v>
      </c>
      <c r="C12" s="9">
        <v>290000</v>
      </c>
    </row>
    <row r="13" spans="1:3" ht="28.8">
      <c r="A13" s="5" t="s">
        <v>69</v>
      </c>
      <c r="B13" s="5" t="s">
        <v>64</v>
      </c>
      <c r="C13" s="9">
        <v>980000</v>
      </c>
    </row>
    <row r="14" spans="1:3">
      <c r="A14" s="5" t="s">
        <v>69</v>
      </c>
      <c r="B14" s="5" t="s">
        <v>65</v>
      </c>
      <c r="C14" s="9">
        <v>640000</v>
      </c>
    </row>
    <row r="15" spans="1:3">
      <c r="A15" s="5" t="s">
        <v>69</v>
      </c>
      <c r="B15" s="5" t="s">
        <v>66</v>
      </c>
      <c r="C15" s="9">
        <v>420000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F85-B405-416C-96BC-08ED058144AD}">
  <dimension ref="A2:C14"/>
  <sheetViews>
    <sheetView topLeftCell="C2" workbookViewId="0">
      <selection activeCell="A3" sqref="A3:C14"/>
    </sheetView>
  </sheetViews>
  <sheetFormatPr defaultRowHeight="14.4"/>
  <sheetData>
    <row r="2" spans="1:3" ht="28.8">
      <c r="A2" s="4" t="s">
        <v>70</v>
      </c>
      <c r="B2" s="4" t="s">
        <v>71</v>
      </c>
      <c r="C2" s="8" t="s">
        <v>62</v>
      </c>
    </row>
    <row r="3" spans="1:3" ht="28.8">
      <c r="A3" s="5" t="s">
        <v>4</v>
      </c>
      <c r="B3" s="5" t="s">
        <v>72</v>
      </c>
      <c r="C3" s="9">
        <v>450000</v>
      </c>
    </row>
    <row r="4" spans="1:3">
      <c r="A4" s="5" t="s">
        <v>4</v>
      </c>
      <c r="B4" s="5" t="s">
        <v>6</v>
      </c>
      <c r="C4" s="9">
        <v>380000</v>
      </c>
    </row>
    <row r="5" spans="1:3">
      <c r="A5" s="5" t="s">
        <v>4</v>
      </c>
      <c r="B5" s="5" t="s">
        <v>73</v>
      </c>
      <c r="C5" s="9">
        <v>320000</v>
      </c>
    </row>
    <row r="6" spans="1:3" ht="28.8">
      <c r="A6" s="5" t="s">
        <v>3</v>
      </c>
      <c r="B6" s="5" t="s">
        <v>74</v>
      </c>
      <c r="C6" s="9">
        <v>250000</v>
      </c>
    </row>
    <row r="7" spans="1:3">
      <c r="A7" s="5" t="s">
        <v>3</v>
      </c>
      <c r="B7" s="5" t="s">
        <v>75</v>
      </c>
      <c r="C7" s="9">
        <v>220000</v>
      </c>
    </row>
    <row r="8" spans="1:3" ht="28.8">
      <c r="A8" s="5" t="s">
        <v>3</v>
      </c>
      <c r="B8" s="5" t="s">
        <v>76</v>
      </c>
      <c r="C8" s="9">
        <v>180000</v>
      </c>
    </row>
    <row r="9" spans="1:3" ht="28.8">
      <c r="A9" s="5" t="s">
        <v>5</v>
      </c>
      <c r="B9" s="5" t="s">
        <v>77</v>
      </c>
      <c r="C9" s="9">
        <v>620000</v>
      </c>
    </row>
    <row r="10" spans="1:3" ht="28.8">
      <c r="A10" s="5" t="s">
        <v>5</v>
      </c>
      <c r="B10" s="5" t="s">
        <v>78</v>
      </c>
      <c r="C10" s="9">
        <v>580000</v>
      </c>
    </row>
    <row r="11" spans="1:3" ht="28.8">
      <c r="A11" s="5" t="s">
        <v>5</v>
      </c>
      <c r="B11" s="5" t="s">
        <v>79</v>
      </c>
      <c r="C11" s="9">
        <v>510000</v>
      </c>
    </row>
    <row r="12" spans="1:3" ht="43.2">
      <c r="A12" s="5" t="s">
        <v>80</v>
      </c>
      <c r="B12" s="5" t="s">
        <v>81</v>
      </c>
      <c r="C12" s="9">
        <v>760000</v>
      </c>
    </row>
    <row r="13" spans="1:3" ht="43.2">
      <c r="A13" s="5" t="s">
        <v>80</v>
      </c>
      <c r="B13" s="5" t="s">
        <v>82</v>
      </c>
      <c r="C13" s="9">
        <v>680000</v>
      </c>
    </row>
    <row r="14" spans="1:3" ht="43.2">
      <c r="A14" s="5" t="s">
        <v>80</v>
      </c>
      <c r="B14" s="5" t="s">
        <v>83</v>
      </c>
      <c r="C14" s="9">
        <v>590000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055-9DB3-445A-9D63-34C4043AF733}">
  <dimension ref="A2:C14"/>
  <sheetViews>
    <sheetView workbookViewId="0">
      <selection activeCell="H13" sqref="H13"/>
    </sheetView>
  </sheetViews>
  <sheetFormatPr defaultRowHeight="14.4"/>
  <sheetData>
    <row r="2" spans="1:3" ht="28.8">
      <c r="A2" s="4" t="s">
        <v>71</v>
      </c>
      <c r="B2" s="4" t="s">
        <v>84</v>
      </c>
      <c r="C2" s="8" t="s">
        <v>85</v>
      </c>
    </row>
    <row r="3" spans="1:3" ht="28.8">
      <c r="A3" s="5" t="s">
        <v>86</v>
      </c>
      <c r="B3" s="5" t="s">
        <v>87</v>
      </c>
      <c r="C3" s="9">
        <v>1500000</v>
      </c>
    </row>
    <row r="4" spans="1:3" ht="28.8">
      <c r="A4" s="5" t="s">
        <v>86</v>
      </c>
      <c r="B4" s="5" t="s">
        <v>88</v>
      </c>
      <c r="C4" s="9">
        <v>1900000</v>
      </c>
    </row>
    <row r="5" spans="1:3" ht="28.8">
      <c r="A5" s="5" t="s">
        <v>86</v>
      </c>
      <c r="B5" s="5" t="s">
        <v>89</v>
      </c>
      <c r="C5" s="9">
        <v>1200000</v>
      </c>
    </row>
    <row r="6" spans="1:3" ht="28.8">
      <c r="A6" s="5" t="s">
        <v>90</v>
      </c>
      <c r="B6" s="5" t="s">
        <v>91</v>
      </c>
      <c r="C6" s="9">
        <v>1700000</v>
      </c>
    </row>
    <row r="7" spans="1:3" ht="28.8">
      <c r="A7" s="5" t="s">
        <v>90</v>
      </c>
      <c r="B7" s="5" t="s">
        <v>92</v>
      </c>
      <c r="C7" s="9">
        <v>900000</v>
      </c>
    </row>
    <row r="8" spans="1:3" ht="28.8">
      <c r="A8" s="5" t="s">
        <v>90</v>
      </c>
      <c r="B8" s="5" t="s">
        <v>93</v>
      </c>
      <c r="C8" s="9">
        <v>700000</v>
      </c>
    </row>
    <row r="9" spans="1:3" ht="28.8">
      <c r="A9" s="5" t="s">
        <v>94</v>
      </c>
      <c r="B9" s="5" t="s">
        <v>95</v>
      </c>
      <c r="C9" s="9">
        <v>1300000</v>
      </c>
    </row>
    <row r="10" spans="1:3">
      <c r="A10" s="5" t="s">
        <v>94</v>
      </c>
      <c r="B10" s="5" t="s">
        <v>96</v>
      </c>
      <c r="C10" s="9">
        <v>850000</v>
      </c>
    </row>
    <row r="11" spans="1:3">
      <c r="A11" s="5" t="s">
        <v>94</v>
      </c>
      <c r="B11" s="5" t="s">
        <v>97</v>
      </c>
      <c r="C11" s="9">
        <v>600000</v>
      </c>
    </row>
    <row r="12" spans="1:3" ht="28.8">
      <c r="A12" s="5" t="s">
        <v>98</v>
      </c>
      <c r="B12" s="5" t="s">
        <v>99</v>
      </c>
      <c r="C12" s="9">
        <v>750000</v>
      </c>
    </row>
    <row r="13" spans="1:3" ht="28.8">
      <c r="A13" s="5" t="s">
        <v>98</v>
      </c>
      <c r="B13" s="5" t="s">
        <v>100</v>
      </c>
      <c r="C13" s="9">
        <v>550000</v>
      </c>
    </row>
    <row r="14" spans="1:3" ht="28.8">
      <c r="A14" s="5" t="s">
        <v>98</v>
      </c>
      <c r="B14" s="5" t="s">
        <v>101</v>
      </c>
      <c r="C14" s="9">
        <v>980000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1D9-D0BD-4A4B-9F25-B87B2605E4E9}">
  <dimension ref="A2:B8"/>
  <sheetViews>
    <sheetView workbookViewId="0">
      <selection activeCell="E17" sqref="E17"/>
    </sheetView>
  </sheetViews>
  <sheetFormatPr defaultRowHeight="14.4"/>
  <sheetData>
    <row r="2" spans="1:2" ht="28.8">
      <c r="A2" s="4" t="s">
        <v>102</v>
      </c>
      <c r="B2" s="8" t="s">
        <v>103</v>
      </c>
    </row>
    <row r="3" spans="1:2" ht="28.8">
      <c r="A3" s="5" t="s">
        <v>104</v>
      </c>
      <c r="B3" s="9">
        <v>25000</v>
      </c>
    </row>
    <row r="4" spans="1:2" ht="28.8">
      <c r="A4" s="5" t="s">
        <v>105</v>
      </c>
      <c r="B4" s="9">
        <v>18000</v>
      </c>
    </row>
    <row r="5" spans="1:2" ht="28.8">
      <c r="A5" s="5" t="s">
        <v>106</v>
      </c>
      <c r="B5" s="9">
        <v>9000</v>
      </c>
    </row>
    <row r="6" spans="1:2" ht="28.8">
      <c r="A6" s="5" t="s">
        <v>107</v>
      </c>
      <c r="B6" s="9">
        <v>6000</v>
      </c>
    </row>
    <row r="7" spans="1:2" ht="43.2">
      <c r="A7" s="5" t="s">
        <v>108</v>
      </c>
      <c r="B7" s="9">
        <v>4500</v>
      </c>
    </row>
    <row r="8" spans="1:2" ht="28.8">
      <c r="A8" s="5" t="s">
        <v>109</v>
      </c>
      <c r="B8" s="9">
        <v>4200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C20-38EF-461A-B491-C124DAEBCC64}">
  <dimension ref="A2:B8"/>
  <sheetViews>
    <sheetView workbookViewId="0">
      <selection activeCell="A3" sqref="A3:B8"/>
    </sheetView>
  </sheetViews>
  <sheetFormatPr defaultRowHeight="14.4"/>
  <sheetData>
    <row r="2" spans="1:2" ht="28.8">
      <c r="A2" s="4" t="s">
        <v>110</v>
      </c>
      <c r="B2" s="8" t="s">
        <v>111</v>
      </c>
    </row>
    <row r="3" spans="1:2" ht="43.2">
      <c r="A3" s="5" t="s">
        <v>112</v>
      </c>
      <c r="B3" s="9">
        <v>5000</v>
      </c>
    </row>
    <row r="4" spans="1:2" ht="43.2">
      <c r="A4" s="5" t="s">
        <v>113</v>
      </c>
      <c r="B4" s="9">
        <v>4200</v>
      </c>
    </row>
    <row r="5" spans="1:2" ht="43.2">
      <c r="A5" s="5" t="s">
        <v>114</v>
      </c>
      <c r="B5" s="9">
        <v>2800</v>
      </c>
    </row>
    <row r="6" spans="1:2" ht="28.8">
      <c r="A6" s="5" t="s">
        <v>115</v>
      </c>
      <c r="B6" s="9">
        <v>1800</v>
      </c>
    </row>
    <row r="7" spans="1:2">
      <c r="A7" s="5" t="s">
        <v>116</v>
      </c>
      <c r="B7" s="9">
        <v>1200</v>
      </c>
    </row>
    <row r="8" spans="1:2" ht="43.2">
      <c r="A8" s="5" t="s">
        <v>117</v>
      </c>
      <c r="B8" s="9">
        <v>1000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BCA-B940-494E-A9B0-1A91EEDE6316}">
  <dimension ref="A2:B9"/>
  <sheetViews>
    <sheetView tabSelected="1" zoomScale="126" zoomScaleNormal="126" workbookViewId="0">
      <selection activeCell="O6" sqref="M6:O7"/>
    </sheetView>
  </sheetViews>
  <sheetFormatPr defaultRowHeight="14.4"/>
  <sheetData>
    <row r="2" spans="1:2" ht="28.8">
      <c r="A2" s="4" t="s">
        <v>118</v>
      </c>
      <c r="B2" s="8" t="s">
        <v>119</v>
      </c>
    </row>
    <row r="3" spans="1:2" ht="43.2">
      <c r="A3" s="5" t="s">
        <v>112</v>
      </c>
      <c r="B3" s="9">
        <v>2000</v>
      </c>
    </row>
    <row r="4" spans="1:2" ht="43.2">
      <c r="A4" s="5" t="s">
        <v>120</v>
      </c>
      <c r="B4" s="9">
        <v>850</v>
      </c>
    </row>
    <row r="5" spans="1:2" ht="43.2">
      <c r="A5" s="5" t="s">
        <v>121</v>
      </c>
      <c r="B5" s="9">
        <v>500</v>
      </c>
    </row>
    <row r="6" spans="1:2" ht="28.8">
      <c r="A6" s="5" t="s">
        <v>122</v>
      </c>
      <c r="B6" s="9">
        <v>220</v>
      </c>
    </row>
    <row r="7" spans="1:2" ht="28.8">
      <c r="A7" s="5" t="s">
        <v>123</v>
      </c>
      <c r="B7" s="9">
        <v>120</v>
      </c>
    </row>
    <row r="8" spans="1:2" ht="28.8">
      <c r="A8" s="5" t="s">
        <v>124</v>
      </c>
      <c r="B8" s="9">
        <v>60</v>
      </c>
    </row>
    <row r="9" spans="1:2" ht="28.8">
      <c r="A9" s="5" t="s">
        <v>125</v>
      </c>
      <c r="B9" s="9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BoxPlot</vt:lpstr>
      <vt:lpstr>BoxPlot (2)</vt:lpstr>
      <vt:lpstr>Scatterplot1</vt:lpstr>
      <vt:lpstr>Scatterplot2</vt:lpstr>
      <vt:lpstr>WaterfallChart1</vt:lpstr>
      <vt:lpstr>WaterfallChart2</vt:lpstr>
      <vt:lpstr>WaterfallChart3</vt:lpstr>
      <vt:lpstr>Treemap1</vt:lpstr>
      <vt:lpstr>Treemap2</vt:lpstr>
      <vt:lpstr>Treemap3</vt:lpstr>
      <vt:lpstr>FunnelChart1</vt:lpstr>
      <vt:lpstr>FunnelChart2</vt:lpstr>
      <vt:lpstr>FunnelChart3</vt:lpstr>
      <vt:lpstr>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PANKHIL SURYAWANSHI</cp:lastModifiedBy>
  <dcterms:created xsi:type="dcterms:W3CDTF">2015-06-05T18:17:20Z</dcterms:created>
  <dcterms:modified xsi:type="dcterms:W3CDTF">2026-07-22T03:51:05Z</dcterms:modified>
</cp:coreProperties>
</file>